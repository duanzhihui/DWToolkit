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脚本清单" sheetId="1" r:id="rId1"/>
    <sheet name="模板" sheetId="20" r:id="rId2"/>
    <sheet name="模板_wps" sheetId="19" r:id="rId3"/>
    <sheet name="模板_office" sheetId="13" r:id="rId4"/>
    <sheet name="脚本_模板" sheetId="17" r:id="rId5"/>
    <sheet name="说明" sheetId="15" r:id="rId6"/>
  </sheets>
  <definedNames>
    <definedName name="_xlnm._FilterDatabase" localSheetId="0" hidden="1">脚本清单!$A$1:$N$1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段智慧</author>
    <author>Windows 用户</author>
  </authors>
  <commentList>
    <comment ref="C1" authorId="0">
      <text>
        <r>
          <rPr>
            <b/>
            <sz val="9"/>
            <rFont val="宋体"/>
            <charset val="134"/>
          </rPr>
          <t>当 脚本状态 为 3 获取注释时，
填写表英文名。</t>
        </r>
      </text>
    </comment>
    <comment ref="E1" authorId="1">
      <text>
        <r>
          <rPr>
            <b/>
            <sz val="9"/>
            <rFont val="宋体"/>
            <charset val="134"/>
          </rPr>
          <t>1-待获取
2-已获取
3-获取注释
4-获取失败</t>
        </r>
      </text>
    </comment>
  </commentList>
</comments>
</file>

<file path=xl/comments2.xml><?xml version="1.0" encoding="utf-8"?>
<comments xmlns="http://schemas.openxmlformats.org/spreadsheetml/2006/main">
  <authors>
    <author>段智慧</author>
    <author>Windows 用户</author>
  </authors>
  <commentList>
    <comment ref="C1" authorId="0">
      <text>
        <r>
          <rPr>
            <b/>
            <sz val="9"/>
            <rFont val="宋体"/>
            <charset val="134"/>
          </rPr>
          <t>当 脚本状态 为 3 获取注释时，
填写表英文名。</t>
        </r>
      </text>
    </comment>
    <comment ref="E1" authorId="1">
      <text>
        <r>
          <rPr>
            <b/>
            <sz val="9"/>
            <rFont val="宋体"/>
            <charset val="134"/>
          </rPr>
          <t>1-待获取
2-已获取
3-获取注释
4-获取失败</t>
        </r>
      </text>
    </comment>
  </commentList>
</comments>
</file>

<file path=xl/comments3.xml><?xml version="1.0" encoding="utf-8"?>
<comments xmlns="http://schemas.openxmlformats.org/spreadsheetml/2006/main">
  <authors>
    <author>Windows 用户</author>
    <author>段智慧</author>
  </authors>
  <commentList>
    <comment ref="E34" authorId="0">
      <text>
        <r>
          <rPr>
            <b/>
            <sz val="9"/>
            <rFont val="宋体"/>
            <charset val="134"/>
          </rPr>
          <t>1-待获取
2-已获取
3-获取注释
4-获取失败</t>
        </r>
      </text>
    </comment>
    <comment ref="I34" authorId="1">
      <text>
        <r>
          <rPr>
            <b/>
            <sz val="9"/>
            <rFont val="宋体"/>
            <charset val="134"/>
          </rPr>
          <t xml:space="preserve">可以在此增加字段，自由扩展，通过公式生成 SCRIPT.建议在sheet（脚本_**）中增加，不建议在sheet（脚本清单）中增加。
</t>
        </r>
        <r>
          <rPr>
            <sz val="9"/>
            <rFont val="宋体"/>
            <charset val="134"/>
          </rPr>
          <t xml:space="preserve">
</t>
        </r>
      </text>
    </comment>
    <comment ref="C36" authorId="1">
      <text>
        <r>
          <rPr>
            <b/>
            <sz val="9"/>
            <rFont val="宋体"/>
            <charset val="134"/>
          </rPr>
          <t>当 脚本状态 为 3 获取注释时，
填写表英文名。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<sst xmlns="http://schemas.openxmlformats.org/spreadsheetml/2006/main" count="177" uniqueCount="95">
  <si>
    <t>连接id</t>
  </si>
  <si>
    <t>脚本名称</t>
  </si>
  <si>
    <t>脚本类型</t>
  </si>
  <si>
    <t>脚本说明</t>
  </si>
  <si>
    <t>脚本状态</t>
  </si>
  <si>
    <t>链接</t>
  </si>
  <si>
    <t>SCRIPT</t>
  </si>
  <si>
    <t>备注</t>
  </si>
  <si>
    <t>表名称</t>
  </si>
  <si>
    <t>行数</t>
  </si>
  <si>
    <t>conn_default_id</t>
  </si>
  <si>
    <t>模板</t>
  </si>
  <si>
    <t>类型</t>
  </si>
  <si>
    <t>表名-字段名-评估维度
评估说明</t>
  </si>
  <si>
    <t>SELECT * FROM TBL_NAME LIMIT 100</t>
  </si>
  <si>
    <t>保留此行</t>
  </si>
  <si>
    <t>T01C00R00</t>
  </si>
  <si>
    <t>示例数据</t>
  </si>
  <si>
    <t>客户信息-全部-示例数据</t>
  </si>
  <si>
    <t>SELECT * FROM dw.to_ecif_cust_info  LIMIT 100</t>
  </si>
  <si>
    <t>一、脚本信息</t>
  </si>
  <si>
    <t>二、脚本结果</t>
  </si>
  <si>
    <t>列1</t>
  </si>
  <si>
    <t>列2</t>
  </si>
  <si>
    <t>-</t>
  </si>
  <si>
    <t>一、修改记录</t>
  </si>
  <si>
    <t>版本</t>
  </si>
  <si>
    <t>修改者</t>
  </si>
  <si>
    <t>修改时间</t>
  </si>
  <si>
    <t>说明</t>
  </si>
  <si>
    <t>V0.1</t>
  </si>
  <si>
    <t>段智慧</t>
  </si>
  <si>
    <t>基于 datachk.py v0.1版本</t>
  </si>
  <si>
    <t>V0.2</t>
  </si>
  <si>
    <t>采用工厂模式整合多数据库支持</t>
  </si>
  <si>
    <t>二、颜色说明</t>
  </si>
  <si>
    <t>信息字段</t>
  </si>
  <si>
    <t>公式字段</t>
  </si>
  <si>
    <t>数据字段</t>
  </si>
  <si>
    <t>三、Sheet说明</t>
  </si>
  <si>
    <t>脚本清单</t>
  </si>
  <si>
    <t>从第三行开始，列出需要做数据探查的表。</t>
  </si>
  <si>
    <t>模板请莫修改或删除！</t>
  </si>
  <si>
    <t>四、数据质量评估维度</t>
  </si>
  <si>
    <t>注：参考《银行数据治理》P95 表7-1 数据质量评估维度的具体内容</t>
  </si>
  <si>
    <t>数据质量评估维度</t>
  </si>
  <si>
    <t>序号</t>
  </si>
  <si>
    <t>评估维度</t>
  </si>
  <si>
    <t>描述</t>
  </si>
  <si>
    <t>衡量标准</t>
  </si>
  <si>
    <t>是否自动核查</t>
  </si>
  <si>
    <t>完整性</t>
  </si>
  <si>
    <t>必须的数据项已经被记录</t>
  </si>
  <si>
    <t>业务指定必需的数据是否缺失，不允许为空字符或空值等。例如，数据源是否完整、维度取值是否完整、数据取值是否完整等</t>
  </si>
  <si>
    <t>是</t>
  </si>
  <si>
    <t>时效性</t>
  </si>
  <si>
    <t>数据被及时更新以体现当前事实</t>
  </si>
  <si>
    <t>当需要使用时，数据能否反应当前事实。即数据必须及时，能够满足系统对数据时间的要求。例如，数据处理（获取、整理、加载等）的及时性</t>
  </si>
  <si>
    <t>唯一性</t>
  </si>
  <si>
    <t>该数据在特定数据集中不存在重复值</t>
  </si>
  <si>
    <t>在指定的数据集中是否存在重复值</t>
  </si>
  <si>
    <t>参照完整性</t>
  </si>
  <si>
    <t>数据项在引用的父表中有定义</t>
  </si>
  <si>
    <t>数据项十分钟父表中有定义</t>
  </si>
  <si>
    <t>依赖一致性</t>
  </si>
  <si>
    <t>数据项取值满足与其他数据项之间的依赖关系</t>
  </si>
  <si>
    <t>数据项取值是否满足与其他数据项之间的依赖关系</t>
  </si>
  <si>
    <t>基数一致性</t>
  </si>
  <si>
    <t>数据项在子表中出现的次数符合标准</t>
  </si>
  <si>
    <t>数据项在子表中可出现的次数是否符合标准。例如，一个账户每年的计息次数为4次，既要符合账户计息次数为1:4的规定</t>
  </si>
  <si>
    <t>正确性</t>
  </si>
  <si>
    <t>数据正确体现了真实情况</t>
  </si>
  <si>
    <t>数据内容和定义是否一致</t>
  </si>
  <si>
    <t>精确性</t>
  </si>
  <si>
    <t>数据精度满足业务要求的程度</t>
  </si>
  <si>
    <t>数据精度是否达到业务规则要求的位数</t>
  </si>
  <si>
    <t>技术有效性</t>
  </si>
  <si>
    <t>数据符合一定的格式规范</t>
  </si>
  <si>
    <t>数据项是否按已定义的格式标准组织</t>
  </si>
  <si>
    <t>业务有效性</t>
  </si>
  <si>
    <t>数据符合已定义的业务规则</t>
  </si>
  <si>
    <t>数据项是否符合已定义的业务要求</t>
  </si>
  <si>
    <t>可信度</t>
  </si>
  <si>
    <t>数据的可信赖程度</t>
  </si>
  <si>
    <t>根据客户调查或客户主动提供获得</t>
  </si>
  <si>
    <t>否</t>
  </si>
  <si>
    <t>可用性</t>
  </si>
  <si>
    <t>数据在需要时是可用的</t>
  </si>
  <si>
    <t>数据可用时间和数据需要被访问时间的比例</t>
  </si>
  <si>
    <t>可访问性</t>
  </si>
  <si>
    <t>数据易于访问</t>
  </si>
  <si>
    <t>数据是否便于自动化读取</t>
  </si>
  <si>
    <t>适用性</t>
  </si>
  <si>
    <t>数据格式和展现满足用户需要</t>
  </si>
  <si>
    <t>五、填写说明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</si>
</sst>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0_ "/>
  </numFmts>
  <fonts count="32">
    <font>
      <sz val="11"/>
      <color theme="1"/>
      <name val="微软雅黑 Light"/>
      <charset val="134"/>
      <scheme val="minor"/>
    </font>
    <font>
      <sz val="11"/>
      <color theme="1"/>
      <name val="微软雅黑 Light"/>
      <charset val="134"/>
    </font>
    <font>
      <b/>
      <sz val="11"/>
      <color theme="0"/>
      <name val="微软雅黑 Light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 Light"/>
      <charset val="134"/>
      <scheme val="minor"/>
    </font>
    <font>
      <u/>
      <sz val="11"/>
      <color theme="10"/>
      <name val="微软雅黑 Light"/>
      <charset val="134"/>
      <scheme val="minor"/>
    </font>
    <font>
      <u/>
      <sz val="11"/>
      <color rgb="FF800080"/>
      <name val="微软雅黑 Light"/>
      <charset val="134"/>
      <scheme val="minor"/>
    </font>
    <font>
      <b/>
      <sz val="11"/>
      <color theme="1"/>
      <name val="微软雅黑 Light"/>
      <charset val="134"/>
      <scheme val="minor"/>
    </font>
    <font>
      <b/>
      <sz val="11"/>
      <name val="微软雅黑 Light"/>
      <charset val="134"/>
      <scheme val="minor"/>
    </font>
    <font>
      <sz val="11"/>
      <color theme="1"/>
      <name val="微软雅黑 Light"/>
      <charset val="134"/>
      <scheme val="minor"/>
    </font>
    <font>
      <u/>
      <sz val="11"/>
      <color rgb="FF800080"/>
      <name val="微软雅黑 Light"/>
      <charset val="0"/>
      <scheme val="minor"/>
    </font>
    <font>
      <sz val="11"/>
      <color rgb="FFFF0000"/>
      <name val="微软雅黑 Light"/>
      <charset val="0"/>
      <scheme val="minor"/>
    </font>
    <font>
      <b/>
      <sz val="18"/>
      <color theme="3"/>
      <name val="微软雅黑 Light"/>
      <charset val="134"/>
      <scheme val="minor"/>
    </font>
    <font>
      <i/>
      <sz val="11"/>
      <color rgb="FF7F7F7F"/>
      <name val="微软雅黑 Light"/>
      <charset val="0"/>
      <scheme val="minor"/>
    </font>
    <font>
      <b/>
      <sz val="15"/>
      <color theme="3"/>
      <name val="微软雅黑 Light"/>
      <charset val="134"/>
      <scheme val="minor"/>
    </font>
    <font>
      <b/>
      <sz val="13"/>
      <color theme="3"/>
      <name val="微软雅黑 Light"/>
      <charset val="134"/>
      <scheme val="minor"/>
    </font>
    <font>
      <b/>
      <sz val="11"/>
      <color theme="3"/>
      <name val="微软雅黑 Light"/>
      <charset val="134"/>
      <scheme val="minor"/>
    </font>
    <font>
      <sz val="11"/>
      <color rgb="FF3F3F76"/>
      <name val="微软雅黑 Light"/>
      <charset val="0"/>
      <scheme val="minor"/>
    </font>
    <font>
      <b/>
      <sz val="11"/>
      <color rgb="FF3F3F3F"/>
      <name val="微软雅黑 Light"/>
      <charset val="0"/>
      <scheme val="minor"/>
    </font>
    <font>
      <b/>
      <sz val="11"/>
      <color rgb="FFFA7D00"/>
      <name val="微软雅黑 Light"/>
      <charset val="0"/>
      <scheme val="minor"/>
    </font>
    <font>
      <b/>
      <sz val="11"/>
      <color rgb="FFFFFFFF"/>
      <name val="微软雅黑 Light"/>
      <charset val="0"/>
      <scheme val="minor"/>
    </font>
    <font>
      <sz val="11"/>
      <color rgb="FFFA7D00"/>
      <name val="微软雅黑 Light"/>
      <charset val="0"/>
      <scheme val="minor"/>
    </font>
    <font>
      <b/>
      <sz val="11"/>
      <color theme="1"/>
      <name val="微软雅黑 Light"/>
      <charset val="0"/>
      <scheme val="minor"/>
    </font>
    <font>
      <sz val="11"/>
      <color rgb="FF006100"/>
      <name val="微软雅黑 Light"/>
      <charset val="0"/>
      <scheme val="minor"/>
    </font>
    <font>
      <sz val="11"/>
      <color rgb="FF9C0006"/>
      <name val="微软雅黑 Light"/>
      <charset val="0"/>
      <scheme val="minor"/>
    </font>
    <font>
      <sz val="11"/>
      <color rgb="FF9C6500"/>
      <name val="微软雅黑 Light"/>
      <charset val="0"/>
      <scheme val="minor"/>
    </font>
    <font>
      <sz val="11"/>
      <color theme="0"/>
      <name val="微软雅黑 Light"/>
      <charset val="0"/>
      <scheme val="minor"/>
    </font>
    <font>
      <sz val="11"/>
      <color theme="1"/>
      <name val="微软雅黑 Light"/>
      <charset val="0"/>
      <scheme val="minor"/>
    </font>
    <font>
      <sz val="11"/>
      <color rgb="FF000000"/>
      <name val="微软雅黑 Light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/>
    <xf numFmtId="0" fontId="11" fillId="0" borderId="0" applyNumberFormat="0" applyFill="0" applyBorder="0" applyAlignment="0" applyProtection="0">
      <alignment vertical="center"/>
    </xf>
    <xf numFmtId="0" fontId="10" fillId="8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11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Font="1" applyAlignment="1">
      <alignment horizontal="left" vertical="top" wrapText="1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5" borderId="0" xfId="0" applyFont="1" applyFill="1" applyAlignment="1">
      <alignment vertical="center"/>
    </xf>
    <xf numFmtId="0" fontId="2" fillId="0" borderId="4" xfId="0" applyFont="1" applyBorder="1" applyAlignment="1">
      <alignment vertical="center"/>
    </xf>
    <xf numFmtId="0" fontId="0" fillId="6" borderId="3" xfId="0" applyFont="1" applyFill="1" applyBorder="1"/>
    <xf numFmtId="0" fontId="0" fillId="0" borderId="0" xfId="0"/>
    <xf numFmtId="0" fontId="0" fillId="0" borderId="0" xfId="0" applyAlignment="1">
      <alignment wrapText="1"/>
    </xf>
    <xf numFmtId="0" fontId="6" fillId="0" borderId="0" xfId="6"/>
    <xf numFmtId="0" fontId="7" fillId="0" borderId="0" xfId="6" applyFont="1"/>
    <xf numFmtId="49" fontId="8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8" fillId="0" borderId="0" xfId="0" applyFont="1"/>
    <xf numFmtId="0" fontId="6" fillId="0" borderId="0" xfId="6" applyAlignment="1">
      <alignment horizontal="right"/>
    </xf>
    <xf numFmtId="0" fontId="8" fillId="0" borderId="5" xfId="0" applyFont="1" applyBorder="1" applyAlignment="1">
      <alignment vertical="center"/>
    </xf>
    <xf numFmtId="0" fontId="0" fillId="7" borderId="6" xfId="0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left" vertical="top" wrapText="1"/>
    </xf>
    <xf numFmtId="0" fontId="8" fillId="7" borderId="7" xfId="0" applyFont="1" applyFill="1" applyBorder="1" applyAlignment="1">
      <alignment horizontal="left" vertical="center"/>
    </xf>
    <xf numFmtId="0" fontId="0" fillId="7" borderId="7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9" fillId="0" borderId="9" xfId="0" applyNumberFormat="1" applyFont="1" applyFill="1" applyBorder="1" applyAlignment="1" applyProtection="1">
      <alignment vertical="center"/>
    </xf>
    <xf numFmtId="49" fontId="9" fillId="0" borderId="10" xfId="0" applyNumberFormat="1" applyFont="1" applyFill="1" applyBorder="1" applyAlignment="1" applyProtection="1">
      <alignment vertical="center"/>
    </xf>
    <xf numFmtId="49" fontId="0" fillId="0" borderId="11" xfId="0" applyNumberFormat="1" applyFont="1" applyFill="1" applyBorder="1" applyAlignment="1" applyProtection="1">
      <alignment vertical="center"/>
    </xf>
    <xf numFmtId="49" fontId="0" fillId="0" borderId="12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7" fillId="0" borderId="0" xfId="6" applyNumberFormat="1" applyFont="1"/>
    <xf numFmtId="0" fontId="0" fillId="0" borderId="0" xfId="0" applyFont="1" applyAlignment="1">
      <alignment vertical="center"/>
    </xf>
    <xf numFmtId="49" fontId="0" fillId="0" borderId="11" xfId="0" applyNumberFormat="1" applyFont="1" applyFill="1" applyBorder="1" applyAlignment="1" applyProtection="1" quotePrefix="1">
      <alignment vertical="center"/>
    </xf>
    <xf numFmtId="49" fontId="0" fillId="0" borderId="12" xfId="0" applyNumberFormat="1" applyFont="1" applyFill="1" applyBorder="1" applyAlignment="1" applyProtection="1" quotePrefix="1">
      <alignment vertical="center"/>
    </xf>
    <xf numFmtId="49" fontId="0" fillId="0" borderId="0" xfId="0" applyNumberFormat="1" applyAlignme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日期时间" xfId="49"/>
    <cellStyle name="数字" xfId="50"/>
  </cellStyles>
  <dxfs count="31"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strike val="0"/>
        <sz val="11"/>
      </font>
      <fill>
        <patternFill patternType="none"/>
      </fill>
    </dxf>
    <dxf>
      <font>
        <name val="微软雅黑 Light"/>
        <scheme val="none"/>
        <strike val="0"/>
        <sz val="11"/>
      </font>
      <numFmt numFmtId="0" formatCode="General"/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strike val="0"/>
        <sz val="1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numFmt numFmtId="49" formatCode="@"/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numFmt numFmtId="49" formatCode="@"/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strike val="0"/>
        <sz val="11"/>
      </font>
      <fill>
        <patternFill patternType="none"/>
      </fill>
    </dxf>
    <dxf>
      <font>
        <name val="微软雅黑 Light"/>
        <scheme val="none"/>
        <strike val="0"/>
        <sz val="11"/>
      </font>
      <numFmt numFmtId="0" formatCode="General"/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b val="0"/>
        <i val="0"/>
        <strike val="0"/>
        <u val="none"/>
        <sz val="11"/>
        <color theme="1"/>
      </font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numFmt numFmtId="14" formatCode="yyyy/m/d"/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alignment vertical="center"/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微软雅黑 Light"/>
        <scheme val="none"/>
        <strike val="0"/>
        <sz val="11"/>
      </font>
      <fill>
        <patternFill patternType="none"/>
      </fill>
    </dxf>
    <dxf>
      <font>
        <name val="微软雅黑 Light"/>
        <scheme val="none"/>
        <strike val="0"/>
        <sz val="11"/>
      </font>
      <numFmt numFmtId="0" formatCode="General"/>
    </dxf>
    <dxf>
      <font>
        <name val="微软雅黑 Light"/>
        <scheme val="none"/>
        <strike val="0"/>
        <sz val="11"/>
      </font>
    </dxf>
    <dxf>
      <font>
        <name val="微软雅黑 Light"/>
        <scheme val="none"/>
        <strike val="0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cript" displayName="script" ref="A1:J3" totalsRowShown="0">
  <tableColumns count="10">
    <tableColumn id="1" name="连接id" dataDxfId="0"/>
    <tableColumn id="9" name="脚本名称" dataDxfId="1"/>
    <tableColumn id="2" name="脚本类型" dataDxfId="2"/>
    <tableColumn id="4" name="脚本说明" dataDxfId="3"/>
    <tableColumn id="7" name="脚本状态" dataDxfId="4"/>
    <tableColumn id="6" name="链接" dataDxfId="5">
      <calculatedColumnFormula>HYPERLINK(CONCATENATE("#'",B2,"'!C2"),"查看")</calculatedColumnFormula>
    </tableColumn>
    <tableColumn id="10" name="SCRIPT" dataDxfId="6"/>
    <tableColumn id="3" name="备注" dataDxfId="7"/>
    <tableColumn id="5" name="表名称" dataDxfId="8"/>
    <tableColumn id="8" name="行数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D2:E3" totalsRowShown="0">
  <autoFilter xmlns:etc="http://www.wps.cn/officeDocument/2017/etCustomData" ref="D2:E3" etc:filterBottomFollowUsedRange="0"/>
  <tableColumns count="2">
    <tableColumn id="1" name="列1" dataDxfId="11"/>
    <tableColumn id="2" name="列2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script_" displayName="script_" ref="A1:H3" totalsRowShown="0">
  <tableColumns count="8">
    <tableColumn id="5" name="连接id"/>
    <tableColumn id="1" name="脚本名称" dataDxfId="13"/>
    <tableColumn id="2" name="脚本类型" dataDxfId="14"/>
    <tableColumn id="4" name="脚本说明" dataDxfId="15"/>
    <tableColumn id="7" name="脚本状态" dataDxfId="16"/>
    <tableColumn id="6" name="链接" dataDxfId="17">
      <calculatedColumnFormula>HYPERLINK(CONCATENATE("#'",B2,"'!C2"),"查看")</calculatedColumnFormula>
    </tableColumn>
    <tableColumn id="10" name="SCRIPT" dataDxfId="18"/>
    <tableColumn id="3" name="备注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2:D4" totalsRowShown="0">
  <autoFilter xmlns:etc="http://www.wps.cn/officeDocument/2017/etCustomData" ref="A2:D4" etc:filterBottomFollowUsedRange="0"/>
  <tableColumns count="4">
    <tableColumn id="1" name="版本" dataDxfId="20"/>
    <tableColumn id="2" name="修改者" dataDxfId="21"/>
    <tableColumn id="3" name="修改时间" dataDxfId="22"/>
    <tableColumn id="4" name="说明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表1_4" displayName="表1_4" ref="A34:H36" totalsRowShown="0">
  <tableColumns count="8">
    <tableColumn id="1" name="连接id" dataDxfId="24"/>
    <tableColumn id="5" name="脚本名称"/>
    <tableColumn id="2" name="脚本类型" dataDxfId="25"/>
    <tableColumn id="4" name="脚本说明" dataDxfId="26"/>
    <tableColumn id="7" name="脚本状态" dataDxfId="27"/>
    <tableColumn id="6" name="链接" dataDxfId="28">
      <calculatedColumnFormula>HYPERLINK(CONCATENATE("#'",A35,"'!C2"),"查看")</calculatedColumnFormula>
    </tableColumn>
    <tableColumn id="10" name="SCRIPT" dataDxfId="29"/>
    <tableColumn id="3" name="备注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纸张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随记">
      <a:majorFont>
        <a:latin typeface="Arial"/>
        <a:ea typeface="微软雅黑"/>
        <a:cs typeface=""/>
      </a:majorFont>
      <a:minorFont>
        <a:latin typeface="Arial Narrow"/>
        <a:ea typeface="微软雅黑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5.xml"/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J3"/>
  <sheetViews>
    <sheetView showGridLines="0" tabSelected="1" workbookViewId="0">
      <pane ySplit="2" topLeftCell="A3" activePane="bottomLeft" state="frozen"/>
      <selection/>
      <selection pane="bottomLeft" activeCell="C14" sqref="C14"/>
    </sheetView>
  </sheetViews>
  <sheetFormatPr defaultColWidth="8.88888888888889" defaultRowHeight="16.5" outlineLevelRow="2"/>
  <cols>
    <col min="1" max="2" width="20.1111111111111" style="20" customWidth="1"/>
    <col min="3" max="3" width="13.1111111111111" style="20" customWidth="1"/>
    <col min="4" max="4" width="32.1111111111111" style="20" customWidth="1"/>
    <col min="5" max="5" width="8.77777777777778" style="20" customWidth="1"/>
    <col min="7" max="7" width="79.5555555555556" customWidth="1"/>
    <col min="8" max="8" width="92.1111111111111" customWidth="1"/>
  </cols>
  <sheetData>
    <row r="1" s="40" customFormat="1" spans="1:10">
      <c r="A1" s="14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ht="33" spans="1:10">
      <c r="A2" s="20" t="s">
        <v>10</v>
      </c>
      <c r="B2" s="20" t="s">
        <v>11</v>
      </c>
      <c r="C2" s="20" t="s">
        <v>12</v>
      </c>
      <c r="D2" s="21" t="s">
        <v>13</v>
      </c>
      <c r="E2" s="20">
        <v>1</v>
      </c>
      <c r="F2" s="41" t="str">
        <f>HYPERLINK(CONCATENATE("#'",B2,"'!C2"),"查看")</f>
        <v>查看</v>
      </c>
      <c r="G2" t="s">
        <v>14</v>
      </c>
      <c r="H2" t="s">
        <v>15</v>
      </c>
      <c r="I2" s="42"/>
      <c r="J2" s="42"/>
    </row>
    <row r="3" spans="1:10">
      <c r="A3" s="20" t="s">
        <v>16</v>
      </c>
      <c r="B3" s="20" t="s">
        <v>16</v>
      </c>
      <c r="C3" s="20" t="s">
        <v>17</v>
      </c>
      <c r="D3" s="20" t="s">
        <v>18</v>
      </c>
      <c r="E3" s="20">
        <v>1</v>
      </c>
      <c r="F3" s="41" t="str">
        <f>HYPERLINK(CONCATENATE("#'",B3,"'!C2"),"查看")</f>
        <v>查看</v>
      </c>
      <c r="G3" t="s">
        <v>19</v>
      </c>
      <c r="I3" s="42"/>
      <c r="J3" s="42"/>
    </row>
  </sheetData>
  <conditionalFormatting sqref="B$1:B$1048576">
    <cfRule type="duplicateValues" dxfId="10" priority="1"/>
  </conditionalFormatting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E200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2" sqref="C2"/>
    </sheetView>
  </sheetViews>
  <sheetFormatPr defaultColWidth="8.88888888888889" defaultRowHeight="16.5" outlineLevelCol="4"/>
  <cols>
    <col min="1" max="1" width="13" style="20" customWidth="1" outlineLevel="1"/>
    <col min="2" max="2" width="44.7777777777778" style="20" customWidth="1" outlineLevel="1"/>
    <col min="3" max="3" width="8.88888888888889" style="25"/>
    <col min="4" max="5" width="15.7777777777778" style="25" customWidth="1"/>
    <col min="6" max="16384" width="8.88888888888889" style="25"/>
  </cols>
  <sheetData>
    <row r="1" s="24" customFormat="1" spans="1:5">
      <c r="A1" s="26" t="s">
        <v>20</v>
      </c>
      <c r="B1" s="27"/>
      <c r="C1" s="24" t="s">
        <v>21</v>
      </c>
    </row>
    <row r="2" customHeight="1" spans="1:5">
      <c r="A2" s="28" t="s">
        <v>1</v>
      </c>
      <c r="B2" s="29" t="s">
        <v>11</v>
      </c>
      <c r="C2" s="23" t="str">
        <f>HYPERLINK(CONCATENATE("#脚本清单!F",MATCH(B2,脚本清单!B:B,0)),"返回")</f>
        <v>返回</v>
      </c>
      <c r="D2" s="36" t="s">
        <v>22</v>
      </c>
      <c r="E2" s="37" t="s">
        <v>23</v>
      </c>
    </row>
    <row r="3" customHeight="1" spans="1:5">
      <c r="A3" s="28" t="s">
        <v>2</v>
      </c>
      <c r="B3" s="29" t="str">
        <f>VLOOKUP($B$2,脚本清单!$B:$G,2,0)</f>
        <v>类型</v>
      </c>
      <c r="D3" s="43" t="s">
        <v>24</v>
      </c>
      <c r="E3" s="44" t="s">
        <v>24</v>
      </c>
    </row>
    <row r="4" customHeight="1" spans="1:5">
      <c r="A4" s="30" t="s">
        <v>3</v>
      </c>
      <c r="B4" s="31" t="str">
        <f>VLOOKUP($B$2,脚本清单!$B:$G,3,0)</f>
        <v>表名-字段名-评估维度
评估说明</v>
      </c>
    </row>
    <row r="5" customHeight="1" spans="1:5">
      <c r="A5" s="32"/>
      <c r="B5" s="33"/>
    </row>
    <row r="6" customHeight="1" spans="1:5">
      <c r="A6" s="28" t="s">
        <v>4</v>
      </c>
      <c r="B6" s="29">
        <f>VLOOKUP($B$2,脚本清单!$B:$G,4,0)</f>
        <v>1</v>
      </c>
    </row>
    <row r="7" customHeight="1" spans="1:5">
      <c r="A7" s="34" t="str">
        <f>VLOOKUP($B$2,脚本清单!$B:$G,6,0)</f>
        <v>SELECT * FROM TBL_NAME LIMIT 100</v>
      </c>
      <c r="B7" s="34"/>
    </row>
    <row r="8" spans="1:5">
      <c r="A8" s="35"/>
      <c r="B8" s="35"/>
    </row>
    <row r="9" spans="1:5">
      <c r="A9" s="35"/>
      <c r="B9" s="35"/>
    </row>
    <row r="10" spans="1:5">
      <c r="A10" s="35"/>
      <c r="B10" s="35"/>
    </row>
    <row r="11" spans="1:5">
      <c r="A11" s="35"/>
      <c r="B11" s="35"/>
    </row>
    <row r="12" spans="1:5">
      <c r="A12" s="35"/>
      <c r="B12" s="35"/>
    </row>
    <row r="13" spans="1:5">
      <c r="A13" s="35"/>
      <c r="B13" s="35"/>
    </row>
    <row r="14" spans="1:5">
      <c r="A14" s="35"/>
      <c r="B14" s="35"/>
    </row>
    <row r="15" spans="1:5">
      <c r="A15" s="35"/>
      <c r="B15" s="35"/>
    </row>
    <row r="16" spans="1:5">
      <c r="A16" s="35"/>
      <c r="B16" s="35"/>
    </row>
    <row r="17" spans="1:2">
      <c r="A17" s="35"/>
      <c r="B17" s="35"/>
    </row>
    <row r="18" spans="1:2">
      <c r="A18" s="35"/>
      <c r="B18" s="35"/>
    </row>
    <row r="19" spans="1:2">
      <c r="A19" s="35"/>
      <c r="B19" s="35"/>
    </row>
    <row r="20" spans="1:2">
      <c r="A20" s="35"/>
      <c r="B20" s="35"/>
    </row>
    <row r="21" spans="1:2">
      <c r="A21" s="35"/>
      <c r="B21" s="35"/>
    </row>
    <row r="22" spans="1:2">
      <c r="A22" s="35"/>
      <c r="B22" s="35"/>
    </row>
    <row r="23" spans="1:2">
      <c r="A23" s="35"/>
      <c r="B23" s="35"/>
    </row>
    <row r="24" spans="1:2">
      <c r="A24" s="35"/>
      <c r="B24" s="35"/>
    </row>
    <row r="25" spans="1:2">
      <c r="A25" s="35"/>
      <c r="B25" s="35"/>
    </row>
    <row r="26" spans="1:2">
      <c r="A26" s="35"/>
      <c r="B26" s="35"/>
    </row>
    <row r="27" spans="1:2">
      <c r="A27" s="35"/>
      <c r="B27" s="35"/>
    </row>
    <row r="28" spans="1:2">
      <c r="A28" s="35"/>
      <c r="B28" s="35"/>
    </row>
    <row r="29" spans="1:2">
      <c r="A29" s="35"/>
      <c r="B29" s="35"/>
    </row>
    <row r="30" spans="1:2">
      <c r="A30" s="35"/>
      <c r="B30" s="35"/>
    </row>
    <row r="31" spans="1:2">
      <c r="A31" s="35"/>
      <c r="B31" s="35"/>
    </row>
    <row r="32" spans="1:2">
      <c r="A32" s="35"/>
      <c r="B32" s="35"/>
    </row>
    <row r="33" spans="1:2">
      <c r="A33" s="35"/>
      <c r="B33" s="35"/>
    </row>
    <row r="34" spans="1:2">
      <c r="A34" s="35"/>
      <c r="B34" s="35"/>
    </row>
    <row r="35" spans="1:2">
      <c r="A35" s="35"/>
      <c r="B35" s="35"/>
    </row>
    <row r="36" spans="1:2">
      <c r="A36" s="35"/>
      <c r="B36" s="35"/>
    </row>
    <row r="37" spans="1:2">
      <c r="A37" s="35"/>
      <c r="B37" s="35"/>
    </row>
    <row r="38" spans="1:2">
      <c r="A38" s="35"/>
      <c r="B38" s="35"/>
    </row>
    <row r="39" spans="1:2">
      <c r="A39" s="35"/>
      <c r="B39" s="35"/>
    </row>
    <row r="40" spans="1:2">
      <c r="A40" s="35"/>
      <c r="B40" s="35"/>
    </row>
    <row r="41" spans="1:2">
      <c r="A41" s="35"/>
      <c r="B41" s="35"/>
    </row>
    <row r="42" spans="1:2">
      <c r="A42" s="35"/>
      <c r="B42" s="35"/>
    </row>
    <row r="43" spans="1:2">
      <c r="A43" s="35"/>
      <c r="B43" s="35"/>
    </row>
    <row r="44" spans="1:2">
      <c r="A44" s="35"/>
      <c r="B44" s="35"/>
    </row>
    <row r="45" spans="1:2">
      <c r="A45" s="35"/>
      <c r="B45" s="35"/>
    </row>
    <row r="46" spans="1:2">
      <c r="A46" s="35"/>
      <c r="B46" s="35"/>
    </row>
    <row r="47" spans="1:2">
      <c r="A47" s="35"/>
      <c r="B47" s="35"/>
    </row>
    <row r="48" spans="1:2">
      <c r="A48" s="35"/>
      <c r="B48" s="35"/>
    </row>
    <row r="49" spans="1:2">
      <c r="A49" s="35"/>
      <c r="B49" s="35"/>
    </row>
    <row r="50" spans="1:2">
      <c r="A50" s="35"/>
      <c r="B50" s="35"/>
    </row>
    <row r="51" spans="1:2">
      <c r="A51" s="35"/>
      <c r="B51" s="35"/>
    </row>
    <row r="52" spans="1:2">
      <c r="A52" s="35"/>
      <c r="B52" s="35"/>
    </row>
    <row r="53" spans="1:2">
      <c r="A53" s="35"/>
      <c r="B53" s="35"/>
    </row>
    <row r="54" spans="1:2">
      <c r="A54" s="35"/>
      <c r="B54" s="35"/>
    </row>
    <row r="55" spans="1:2">
      <c r="A55" s="35"/>
      <c r="B55" s="35"/>
    </row>
    <row r="56" spans="1:2">
      <c r="A56" s="35"/>
      <c r="B56" s="35"/>
    </row>
    <row r="57" spans="1:2">
      <c r="A57" s="35"/>
      <c r="B57" s="35"/>
    </row>
    <row r="58" spans="1:2">
      <c r="A58" s="35"/>
      <c r="B58" s="35"/>
    </row>
    <row r="59" spans="1:2">
      <c r="A59" s="35"/>
      <c r="B59" s="35"/>
    </row>
    <row r="60" spans="1:2">
      <c r="A60" s="35"/>
      <c r="B60" s="35"/>
    </row>
    <row r="61" spans="1:2">
      <c r="A61" s="35"/>
      <c r="B61" s="35"/>
    </row>
    <row r="62" spans="1:2">
      <c r="A62" s="35"/>
      <c r="B62" s="35"/>
    </row>
    <row r="63" spans="1:2">
      <c r="A63" s="35"/>
      <c r="B63" s="35"/>
    </row>
    <row r="64" spans="1:2">
      <c r="A64" s="35"/>
      <c r="B64" s="35"/>
    </row>
    <row r="65" spans="1:2">
      <c r="A65" s="35"/>
      <c r="B65" s="35"/>
    </row>
    <row r="66" spans="1:2">
      <c r="A66" s="35"/>
      <c r="B66" s="35"/>
    </row>
    <row r="67" spans="1:2">
      <c r="A67" s="35"/>
      <c r="B67" s="35"/>
    </row>
    <row r="68" spans="1:2">
      <c r="A68" s="35"/>
      <c r="B68" s="35"/>
    </row>
    <row r="69" spans="1:2">
      <c r="A69" s="35"/>
      <c r="B69" s="35"/>
    </row>
    <row r="70" spans="1:2">
      <c r="A70" s="35"/>
      <c r="B70" s="35"/>
    </row>
    <row r="71" spans="1:2">
      <c r="A71" s="35"/>
      <c r="B71" s="35"/>
    </row>
    <row r="72" spans="1:2">
      <c r="A72" s="35"/>
      <c r="B72" s="35"/>
    </row>
    <row r="73" spans="1:2">
      <c r="A73" s="35"/>
      <c r="B73" s="35"/>
    </row>
    <row r="74" spans="1:2">
      <c r="A74" s="35"/>
      <c r="B74" s="35"/>
    </row>
    <row r="75" spans="1:2">
      <c r="A75" s="35"/>
      <c r="B75" s="35"/>
    </row>
    <row r="76" spans="1:2">
      <c r="A76" s="35"/>
      <c r="B76" s="35"/>
    </row>
    <row r="77" spans="1:2">
      <c r="A77" s="35"/>
      <c r="B77" s="35"/>
    </row>
    <row r="78" spans="1:2">
      <c r="A78" s="35"/>
      <c r="B78" s="35"/>
    </row>
    <row r="79" spans="1:2">
      <c r="A79" s="35"/>
      <c r="B79" s="35"/>
    </row>
    <row r="80" spans="1:2">
      <c r="A80" s="35"/>
      <c r="B80" s="35"/>
    </row>
    <row r="81" spans="1:2">
      <c r="A81" s="35"/>
      <c r="B81" s="35"/>
    </row>
    <row r="82" spans="1:2">
      <c r="A82" s="35"/>
      <c r="B82" s="35"/>
    </row>
    <row r="83" spans="1:2">
      <c r="A83" s="35"/>
      <c r="B83" s="35"/>
    </row>
    <row r="84" spans="1:2">
      <c r="A84" s="35"/>
      <c r="B84" s="35"/>
    </row>
    <row r="85" spans="1:2">
      <c r="A85" s="35"/>
      <c r="B85" s="35"/>
    </row>
    <row r="86" spans="1:2">
      <c r="A86" s="35"/>
      <c r="B86" s="35"/>
    </row>
    <row r="87" spans="1:2">
      <c r="A87" s="35"/>
      <c r="B87" s="35"/>
    </row>
    <row r="88" spans="1:2">
      <c r="A88" s="35"/>
      <c r="B88" s="35"/>
    </row>
    <row r="89" spans="1:2">
      <c r="A89" s="35"/>
      <c r="B89" s="35"/>
    </row>
    <row r="90" spans="1:2">
      <c r="A90" s="35"/>
      <c r="B90" s="35"/>
    </row>
    <row r="91" spans="1:2">
      <c r="A91" s="35"/>
      <c r="B91" s="35"/>
    </row>
    <row r="92" spans="1:2">
      <c r="A92" s="35"/>
      <c r="B92" s="35"/>
    </row>
    <row r="93" spans="1:2">
      <c r="A93" s="35"/>
      <c r="B93" s="35"/>
    </row>
    <row r="94" spans="1:2">
      <c r="A94" s="35"/>
      <c r="B94" s="35"/>
    </row>
    <row r="95" spans="1:2">
      <c r="A95" s="35"/>
      <c r="B95" s="35"/>
    </row>
    <row r="96" spans="1:2">
      <c r="A96" s="35"/>
      <c r="B96" s="35"/>
    </row>
    <row r="97" spans="1:2">
      <c r="A97" s="35"/>
      <c r="B97" s="35"/>
    </row>
    <row r="98" spans="1:2">
      <c r="A98" s="35"/>
      <c r="B98" s="35"/>
    </row>
    <row r="99" spans="1:2">
      <c r="A99" s="35"/>
      <c r="B99" s="35"/>
    </row>
    <row r="100" spans="1:2">
      <c r="A100" s="35"/>
      <c r="B100" s="35"/>
    </row>
    <row r="101" spans="1:2">
      <c r="A101" s="35"/>
      <c r="B101" s="35"/>
    </row>
    <row r="102" spans="1:2">
      <c r="A102" s="35"/>
      <c r="B102" s="35"/>
    </row>
    <row r="103" spans="1:2">
      <c r="A103" s="35"/>
      <c r="B103" s="35"/>
    </row>
    <row r="104" spans="1:2">
      <c r="A104" s="35"/>
      <c r="B104" s="35"/>
    </row>
    <row r="105" spans="1:2">
      <c r="A105" s="35"/>
      <c r="B105" s="35"/>
    </row>
    <row r="106" spans="1:2">
      <c r="A106" s="35"/>
      <c r="B106" s="35"/>
    </row>
    <row r="107" spans="1:2">
      <c r="A107" s="35"/>
      <c r="B107" s="35"/>
    </row>
    <row r="108" spans="1:2">
      <c r="A108" s="35"/>
      <c r="B108" s="35"/>
    </row>
    <row r="109" spans="1:2">
      <c r="A109" s="35"/>
      <c r="B109" s="35"/>
    </row>
    <row r="110" spans="1:2">
      <c r="A110" s="35"/>
      <c r="B110" s="35"/>
    </row>
    <row r="111" spans="1:2">
      <c r="A111" s="35"/>
      <c r="B111" s="35"/>
    </row>
    <row r="112" spans="1:2">
      <c r="A112" s="35"/>
      <c r="B112" s="35"/>
    </row>
    <row r="113" spans="1:2">
      <c r="A113" s="35"/>
      <c r="B113" s="35"/>
    </row>
    <row r="114" spans="1:2">
      <c r="A114" s="35"/>
      <c r="B114" s="35"/>
    </row>
    <row r="115" spans="1:2">
      <c r="A115" s="35"/>
      <c r="B115" s="35"/>
    </row>
    <row r="116" spans="1:2">
      <c r="A116" s="35"/>
      <c r="B116" s="35"/>
    </row>
    <row r="117" spans="1:2">
      <c r="A117" s="35"/>
      <c r="B117" s="35"/>
    </row>
    <row r="118" spans="1:2">
      <c r="A118" s="35"/>
      <c r="B118" s="35"/>
    </row>
    <row r="119" spans="1:2">
      <c r="A119" s="35"/>
      <c r="B119" s="35"/>
    </row>
    <row r="120" spans="1:2">
      <c r="A120" s="35"/>
      <c r="B120" s="35"/>
    </row>
    <row r="121" spans="1:2">
      <c r="A121" s="35"/>
      <c r="B121" s="35"/>
    </row>
    <row r="122" spans="1:2">
      <c r="A122" s="35"/>
      <c r="B122" s="35"/>
    </row>
    <row r="123" spans="1:2">
      <c r="A123" s="35"/>
      <c r="B123" s="35"/>
    </row>
    <row r="124" spans="1:2">
      <c r="A124" s="35"/>
      <c r="B124" s="35"/>
    </row>
    <row r="125" spans="1:2">
      <c r="A125" s="35"/>
      <c r="B125" s="35"/>
    </row>
    <row r="126" spans="1:2">
      <c r="A126" s="35"/>
      <c r="B126" s="35"/>
    </row>
    <row r="127" spans="1:2">
      <c r="A127" s="35"/>
      <c r="B127" s="35"/>
    </row>
    <row r="128" spans="1:2">
      <c r="A128" s="35"/>
      <c r="B128" s="35"/>
    </row>
    <row r="129" spans="1:2">
      <c r="A129" s="35"/>
      <c r="B129" s="35"/>
    </row>
    <row r="130" spans="1:2">
      <c r="A130" s="35"/>
      <c r="B130" s="35"/>
    </row>
    <row r="131" spans="1:2">
      <c r="A131" s="35"/>
      <c r="B131" s="35"/>
    </row>
    <row r="132" spans="1:2">
      <c r="A132" s="35"/>
      <c r="B132" s="35"/>
    </row>
    <row r="133" spans="1:2">
      <c r="A133" s="35"/>
      <c r="B133" s="35"/>
    </row>
    <row r="134" spans="1:2">
      <c r="A134" s="35"/>
      <c r="B134" s="35"/>
    </row>
    <row r="135" spans="1:2">
      <c r="A135" s="35"/>
      <c r="B135" s="35"/>
    </row>
    <row r="136" spans="1:2">
      <c r="A136" s="35"/>
      <c r="B136" s="35"/>
    </row>
    <row r="137" spans="1:2">
      <c r="A137" s="35"/>
      <c r="B137" s="35"/>
    </row>
    <row r="138" spans="1:2">
      <c r="A138" s="35"/>
      <c r="B138" s="35"/>
    </row>
    <row r="139" spans="1:2">
      <c r="A139" s="35"/>
      <c r="B139" s="35"/>
    </row>
    <row r="140" spans="1:2">
      <c r="A140" s="35"/>
      <c r="B140" s="35"/>
    </row>
    <row r="141" spans="1:2">
      <c r="A141" s="35"/>
      <c r="B141" s="35"/>
    </row>
    <row r="142" spans="1:2">
      <c r="A142" s="35"/>
      <c r="B142" s="35"/>
    </row>
    <row r="143" spans="1:2">
      <c r="A143" s="35"/>
      <c r="B143" s="35"/>
    </row>
    <row r="144" spans="1:2">
      <c r="A144" s="35"/>
      <c r="B144" s="35"/>
    </row>
    <row r="145" spans="1:2">
      <c r="A145" s="35"/>
      <c r="B145" s="35"/>
    </row>
    <row r="146" spans="1:2">
      <c r="A146" s="35"/>
      <c r="B146" s="35"/>
    </row>
    <row r="147" spans="1:2">
      <c r="A147" s="35"/>
      <c r="B147" s="35"/>
    </row>
    <row r="148" spans="1:2">
      <c r="A148" s="35"/>
      <c r="B148" s="35"/>
    </row>
    <row r="149" spans="1:2">
      <c r="A149" s="35"/>
      <c r="B149" s="35"/>
    </row>
    <row r="150" spans="1:2">
      <c r="A150" s="35"/>
      <c r="B150" s="35"/>
    </row>
    <row r="151" spans="1:2">
      <c r="A151" s="35"/>
      <c r="B151" s="35"/>
    </row>
    <row r="152" spans="1:2">
      <c r="A152" s="35"/>
      <c r="B152" s="35"/>
    </row>
    <row r="153" spans="1:2">
      <c r="A153" s="35"/>
      <c r="B153" s="35"/>
    </row>
    <row r="154" spans="1:2">
      <c r="A154" s="35"/>
      <c r="B154" s="35"/>
    </row>
    <row r="155" spans="1:2">
      <c r="A155" s="35"/>
      <c r="B155" s="35"/>
    </row>
    <row r="156" spans="1:2">
      <c r="A156" s="35"/>
      <c r="B156" s="35"/>
    </row>
    <row r="157" spans="1:2">
      <c r="A157" s="35"/>
      <c r="B157" s="35"/>
    </row>
    <row r="158" spans="1:2">
      <c r="A158" s="35"/>
      <c r="B158" s="35"/>
    </row>
    <row r="159" spans="1:2">
      <c r="A159" s="35"/>
      <c r="B159" s="35"/>
    </row>
    <row r="160" spans="1:2">
      <c r="A160" s="35"/>
      <c r="B160" s="35"/>
    </row>
    <row r="161" spans="1:2">
      <c r="A161" s="35"/>
      <c r="B161" s="35"/>
    </row>
    <row r="162" spans="1:2">
      <c r="A162" s="35"/>
      <c r="B162" s="35"/>
    </row>
    <row r="163" spans="1:2">
      <c r="A163" s="35"/>
      <c r="B163" s="35"/>
    </row>
    <row r="164" spans="1:2">
      <c r="A164" s="35"/>
      <c r="B164" s="35"/>
    </row>
    <row r="165" spans="1:2">
      <c r="A165" s="35"/>
      <c r="B165" s="35"/>
    </row>
    <row r="166" spans="1:2">
      <c r="A166" s="35"/>
      <c r="B166" s="35"/>
    </row>
    <row r="167" spans="1:2">
      <c r="A167" s="35"/>
      <c r="B167" s="35"/>
    </row>
    <row r="168" spans="1:2">
      <c r="A168" s="35"/>
      <c r="B168" s="35"/>
    </row>
    <row r="169" spans="1:2">
      <c r="A169" s="35"/>
      <c r="B169" s="35"/>
    </row>
    <row r="170" spans="1:2">
      <c r="A170" s="35"/>
      <c r="B170" s="35"/>
    </row>
    <row r="171" spans="1:2">
      <c r="A171" s="35"/>
      <c r="B171" s="35"/>
    </row>
    <row r="172" spans="1:2">
      <c r="A172" s="35"/>
      <c r="B172" s="35"/>
    </row>
    <row r="173" spans="1:2">
      <c r="A173" s="35"/>
      <c r="B173" s="35"/>
    </row>
    <row r="174" spans="1:2">
      <c r="A174" s="35"/>
      <c r="B174" s="35"/>
    </row>
    <row r="175" spans="1:2">
      <c r="A175" s="35"/>
      <c r="B175" s="35"/>
    </row>
    <row r="176" spans="1:2">
      <c r="A176" s="35"/>
      <c r="B176" s="35"/>
    </row>
    <row r="177" spans="1:2">
      <c r="A177" s="35"/>
      <c r="B177" s="35"/>
    </row>
    <row r="178" spans="1:2">
      <c r="A178" s="35"/>
      <c r="B178" s="35"/>
    </row>
    <row r="179" spans="1:2">
      <c r="A179" s="35"/>
      <c r="B179" s="35"/>
    </row>
    <row r="180" spans="1:2">
      <c r="A180" s="35"/>
      <c r="B180" s="35"/>
    </row>
    <row r="181" spans="1:2">
      <c r="A181" s="35"/>
      <c r="B181" s="35"/>
    </row>
    <row r="182" spans="1:2">
      <c r="A182" s="35"/>
      <c r="B182" s="35"/>
    </row>
    <row r="183" spans="1:2">
      <c r="A183" s="35"/>
      <c r="B183" s="35"/>
    </row>
    <row r="184" spans="1:2">
      <c r="A184" s="35"/>
      <c r="B184" s="35"/>
    </row>
    <row r="185" spans="1:2">
      <c r="A185" s="35"/>
      <c r="B185" s="35"/>
    </row>
    <row r="186" spans="1:2">
      <c r="A186" s="35"/>
      <c r="B186" s="35"/>
    </row>
    <row r="187" spans="1:2">
      <c r="A187" s="35"/>
      <c r="B187" s="35"/>
    </row>
    <row r="188" spans="1:2">
      <c r="A188" s="35"/>
      <c r="B188" s="35"/>
    </row>
    <row r="189" spans="1:2">
      <c r="A189" s="35"/>
      <c r="B189" s="35"/>
    </row>
    <row r="190" spans="1:2">
      <c r="A190" s="35"/>
      <c r="B190" s="35"/>
    </row>
    <row r="191" spans="1:2">
      <c r="A191" s="35"/>
      <c r="B191" s="35"/>
    </row>
    <row r="192" spans="1:2">
      <c r="A192" s="35"/>
      <c r="B192" s="35"/>
    </row>
    <row r="193" spans="1:2">
      <c r="A193" s="35"/>
      <c r="B193" s="35"/>
    </row>
    <row r="194" spans="1:2">
      <c r="A194" s="35"/>
      <c r="B194" s="35"/>
    </row>
    <row r="195" spans="1:2">
      <c r="A195" s="35"/>
      <c r="B195" s="35"/>
    </row>
    <row r="196" spans="1:2">
      <c r="A196" s="35"/>
      <c r="B196" s="35"/>
    </row>
    <row r="197" spans="1:2">
      <c r="A197" s="35"/>
      <c r="B197" s="35"/>
    </row>
    <row r="198" spans="1:2">
      <c r="A198" s="35"/>
      <c r="B198" s="35"/>
    </row>
    <row r="199" spans="1:2">
      <c r="A199" s="35"/>
      <c r="B199" s="35"/>
    </row>
    <row r="200" spans="1:2">
      <c r="A200" s="35"/>
      <c r="B200" s="35"/>
    </row>
  </sheetData>
  <mergeCells count="3">
    <mergeCell ref="A4:A5"/>
    <mergeCell ref="B4:B5"/>
    <mergeCell ref="A7:B20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E200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2" sqref="C2"/>
    </sheetView>
  </sheetViews>
  <sheetFormatPr defaultColWidth="8.88888888888889" defaultRowHeight="16.5" outlineLevelCol="4"/>
  <cols>
    <col min="1" max="1" width="13" style="20" customWidth="1" outlineLevel="1"/>
    <col min="2" max="2" width="44.7777777777778" style="20" customWidth="1" outlineLevel="1"/>
    <col min="3" max="3" width="8.88888888888889" style="25"/>
    <col min="4" max="5" width="15.7777777777778" style="25" customWidth="1"/>
    <col min="6" max="16384" width="8.88888888888889" style="25"/>
  </cols>
  <sheetData>
    <row r="1" s="24" customFormat="1" spans="1:5">
      <c r="A1" s="26" t="s">
        <v>20</v>
      </c>
      <c r="B1" s="27"/>
      <c r="C1" s="24" t="s">
        <v>21</v>
      </c>
    </row>
    <row r="2" customHeight="1" spans="1:5">
      <c r="A2" s="28" t="s">
        <v>1</v>
      </c>
      <c r="B2" s="29" t="s">
        <v>11</v>
      </c>
      <c r="C2" s="23" t="str">
        <f>HYPERLINK(CONCATENATE("#脚本清单!F",MATCH(B2,脚本清单!B:B,0)),"返回")</f>
        <v>返回</v>
      </c>
      <c r="D2" s="36" t="s">
        <v>22</v>
      </c>
      <c r="E2" s="37" t="s">
        <v>23</v>
      </c>
    </row>
    <row r="3" customHeight="1" spans="1:5">
      <c r="A3" s="28" t="s">
        <v>2</v>
      </c>
      <c r="B3" s="29" t="str">
        <f>VLOOKUP($B$2,脚本清单!$B:$G,2,0)</f>
        <v>类型</v>
      </c>
      <c r="D3" s="43" t="s">
        <v>24</v>
      </c>
      <c r="E3" s="44" t="s">
        <v>24</v>
      </c>
    </row>
    <row r="4" customHeight="1" spans="1:5">
      <c r="A4" s="30" t="s">
        <v>3</v>
      </c>
      <c r="B4" s="31" t="str">
        <f>VLOOKUP($B$2,脚本清单!$B:$G,3,0)</f>
        <v>表名-字段名-评估维度
评估说明</v>
      </c>
    </row>
    <row r="5" customHeight="1" spans="1:5">
      <c r="A5" s="32"/>
      <c r="B5" s="33"/>
    </row>
    <row r="6" customHeight="1" spans="1:5">
      <c r="A6" s="28" t="s">
        <v>4</v>
      </c>
      <c r="B6" s="29">
        <f>VLOOKUP($B$2,脚本清单!$B:$G,4,0)</f>
        <v>1</v>
      </c>
    </row>
    <row r="7" customHeight="1" spans="1:5">
      <c r="A7" s="34" t="str">
        <f>VLOOKUP($B$2,脚本清单!$B:$G,6,0)</f>
        <v>SELECT * FROM TBL_NAME LIMIT 100</v>
      </c>
      <c r="B7" s="34"/>
    </row>
    <row r="8" spans="1:5">
      <c r="A8" s="35"/>
      <c r="B8" s="35"/>
    </row>
    <row r="9" spans="1:5">
      <c r="A9" s="35"/>
      <c r="B9" s="35"/>
    </row>
    <row r="10" spans="1:5">
      <c r="A10" s="35"/>
      <c r="B10" s="35"/>
    </row>
    <row r="11" spans="1:5">
      <c r="A11" s="35"/>
      <c r="B11" s="35"/>
    </row>
    <row r="12" spans="1:5">
      <c r="A12" s="35"/>
      <c r="B12" s="35"/>
    </row>
    <row r="13" spans="1:5">
      <c r="A13" s="35"/>
      <c r="B13" s="35"/>
    </row>
    <row r="14" spans="1:5">
      <c r="A14" s="35"/>
      <c r="B14" s="35"/>
    </row>
    <row r="15" spans="1:5">
      <c r="A15" s="35"/>
      <c r="B15" s="35"/>
    </row>
    <row r="16" spans="1:5">
      <c r="A16" s="35"/>
      <c r="B16" s="35"/>
    </row>
    <row r="17" spans="1:2">
      <c r="A17" s="35"/>
      <c r="B17" s="35"/>
    </row>
    <row r="18" spans="1:2">
      <c r="A18" s="35"/>
      <c r="B18" s="35"/>
    </row>
    <row r="19" spans="1:2">
      <c r="A19" s="35"/>
      <c r="B19" s="35"/>
    </row>
    <row r="20" spans="1:2">
      <c r="A20" s="35"/>
      <c r="B20" s="35"/>
    </row>
    <row r="21" spans="1:2">
      <c r="A21" s="35"/>
      <c r="B21" s="35"/>
    </row>
    <row r="22" spans="1:2">
      <c r="A22" s="35"/>
      <c r="B22" s="35"/>
    </row>
    <row r="23" spans="1:2">
      <c r="A23" s="35"/>
      <c r="B23" s="35"/>
    </row>
    <row r="24" spans="1:2">
      <c r="A24" s="35"/>
      <c r="B24" s="35"/>
    </row>
    <row r="25" spans="1:2">
      <c r="A25" s="35"/>
      <c r="B25" s="35"/>
    </row>
    <row r="26" spans="1:2">
      <c r="A26" s="35"/>
      <c r="B26" s="35"/>
    </row>
    <row r="27" spans="1:2">
      <c r="A27" s="35"/>
      <c r="B27" s="35"/>
    </row>
    <row r="28" spans="1:2">
      <c r="A28" s="35"/>
      <c r="B28" s="35"/>
    </row>
    <row r="29" spans="1:2">
      <c r="A29" s="35"/>
      <c r="B29" s="35"/>
    </row>
    <row r="30" spans="1:2">
      <c r="A30" s="35"/>
      <c r="B30" s="35"/>
    </row>
    <row r="31" spans="1:2">
      <c r="A31" s="35"/>
      <c r="B31" s="35"/>
    </row>
    <row r="32" spans="1:2">
      <c r="A32" s="35"/>
      <c r="B32" s="35"/>
    </row>
    <row r="33" spans="1:2">
      <c r="A33" s="35"/>
      <c r="B33" s="35"/>
    </row>
    <row r="34" spans="1:2">
      <c r="A34" s="35"/>
      <c r="B34" s="35"/>
    </row>
    <row r="35" spans="1:2">
      <c r="A35" s="35"/>
      <c r="B35" s="35"/>
    </row>
    <row r="36" spans="1:2">
      <c r="A36" s="35"/>
      <c r="B36" s="35"/>
    </row>
    <row r="37" spans="1:2">
      <c r="A37" s="35"/>
      <c r="B37" s="35"/>
    </row>
    <row r="38" spans="1:2">
      <c r="A38" s="35"/>
      <c r="B38" s="35"/>
    </row>
    <row r="39" spans="1:2">
      <c r="A39" s="35"/>
      <c r="B39" s="35"/>
    </row>
    <row r="40" spans="1:2">
      <c r="A40" s="35"/>
      <c r="B40" s="35"/>
    </row>
    <row r="41" spans="1:2">
      <c r="A41" s="35"/>
      <c r="B41" s="35"/>
    </row>
    <row r="42" spans="1:2">
      <c r="A42" s="35"/>
      <c r="B42" s="35"/>
    </row>
    <row r="43" spans="1:2">
      <c r="A43" s="35"/>
      <c r="B43" s="35"/>
    </row>
    <row r="44" spans="1:2">
      <c r="A44" s="35"/>
      <c r="B44" s="35"/>
    </row>
    <row r="45" spans="1:2">
      <c r="A45" s="35"/>
      <c r="B45" s="35"/>
    </row>
    <row r="46" spans="1:2">
      <c r="A46" s="35"/>
      <c r="B46" s="35"/>
    </row>
    <row r="47" spans="1:2">
      <c r="A47" s="35"/>
      <c r="B47" s="35"/>
    </row>
    <row r="48" spans="1:2">
      <c r="A48" s="35"/>
      <c r="B48" s="35"/>
    </row>
    <row r="49" spans="1:2">
      <c r="A49" s="35"/>
      <c r="B49" s="35"/>
    </row>
    <row r="50" spans="1:2">
      <c r="A50" s="35"/>
      <c r="B50" s="35"/>
    </row>
    <row r="51" spans="1:2">
      <c r="A51" s="35"/>
      <c r="B51" s="35"/>
    </row>
    <row r="52" spans="1:2">
      <c r="A52" s="35"/>
      <c r="B52" s="35"/>
    </row>
    <row r="53" spans="1:2">
      <c r="A53" s="35"/>
      <c r="B53" s="35"/>
    </row>
    <row r="54" spans="1:2">
      <c r="A54" s="35"/>
      <c r="B54" s="35"/>
    </row>
    <row r="55" spans="1:2">
      <c r="A55" s="35"/>
      <c r="B55" s="35"/>
    </row>
    <row r="56" spans="1:2">
      <c r="A56" s="35"/>
      <c r="B56" s="35"/>
    </row>
    <row r="57" spans="1:2">
      <c r="A57" s="35"/>
      <c r="B57" s="35"/>
    </row>
    <row r="58" spans="1:2">
      <c r="A58" s="35"/>
      <c r="B58" s="35"/>
    </row>
    <row r="59" spans="1:2">
      <c r="A59" s="35"/>
      <c r="B59" s="35"/>
    </row>
    <row r="60" spans="1:2">
      <c r="A60" s="35"/>
      <c r="B60" s="35"/>
    </row>
    <row r="61" spans="1:2">
      <c r="A61" s="35"/>
      <c r="B61" s="35"/>
    </row>
    <row r="62" spans="1:2">
      <c r="A62" s="35"/>
      <c r="B62" s="35"/>
    </row>
    <row r="63" spans="1:2">
      <c r="A63" s="35"/>
      <c r="B63" s="35"/>
    </row>
    <row r="64" spans="1:2">
      <c r="A64" s="35"/>
      <c r="B64" s="35"/>
    </row>
    <row r="65" spans="1:2">
      <c r="A65" s="35"/>
      <c r="B65" s="35"/>
    </row>
    <row r="66" spans="1:2">
      <c r="A66" s="35"/>
      <c r="B66" s="35"/>
    </row>
    <row r="67" spans="1:2">
      <c r="A67" s="35"/>
      <c r="B67" s="35"/>
    </row>
    <row r="68" spans="1:2">
      <c r="A68" s="35"/>
      <c r="B68" s="35"/>
    </row>
    <row r="69" spans="1:2">
      <c r="A69" s="35"/>
      <c r="B69" s="35"/>
    </row>
    <row r="70" spans="1:2">
      <c r="A70" s="35"/>
      <c r="B70" s="35"/>
    </row>
    <row r="71" spans="1:2">
      <c r="A71" s="35"/>
      <c r="B71" s="35"/>
    </row>
    <row r="72" spans="1:2">
      <c r="A72" s="35"/>
      <c r="B72" s="35"/>
    </row>
    <row r="73" spans="1:2">
      <c r="A73" s="35"/>
      <c r="B73" s="35"/>
    </row>
    <row r="74" spans="1:2">
      <c r="A74" s="35"/>
      <c r="B74" s="35"/>
    </row>
    <row r="75" spans="1:2">
      <c r="A75" s="35"/>
      <c r="B75" s="35"/>
    </row>
    <row r="76" spans="1:2">
      <c r="A76" s="35"/>
      <c r="B76" s="35"/>
    </row>
    <row r="77" spans="1:2">
      <c r="A77" s="35"/>
      <c r="B77" s="35"/>
    </row>
    <row r="78" spans="1:2">
      <c r="A78" s="35"/>
      <c r="B78" s="35"/>
    </row>
    <row r="79" spans="1:2">
      <c r="A79" s="35"/>
      <c r="B79" s="35"/>
    </row>
    <row r="80" spans="1:2">
      <c r="A80" s="35"/>
      <c r="B80" s="35"/>
    </row>
    <row r="81" spans="1:2">
      <c r="A81" s="35"/>
      <c r="B81" s="35"/>
    </row>
    <row r="82" spans="1:2">
      <c r="A82" s="35"/>
      <c r="B82" s="35"/>
    </row>
    <row r="83" spans="1:2">
      <c r="A83" s="35"/>
      <c r="B83" s="35"/>
    </row>
    <row r="84" spans="1:2">
      <c r="A84" s="35"/>
      <c r="B84" s="35"/>
    </row>
    <row r="85" spans="1:2">
      <c r="A85" s="35"/>
      <c r="B85" s="35"/>
    </row>
    <row r="86" spans="1:2">
      <c r="A86" s="35"/>
      <c r="B86" s="35"/>
    </row>
    <row r="87" spans="1:2">
      <c r="A87" s="35"/>
      <c r="B87" s="35"/>
    </row>
    <row r="88" spans="1:2">
      <c r="A88" s="35"/>
      <c r="B88" s="35"/>
    </row>
    <row r="89" spans="1:2">
      <c r="A89" s="35"/>
      <c r="B89" s="35"/>
    </row>
    <row r="90" spans="1:2">
      <c r="A90" s="35"/>
      <c r="B90" s="35"/>
    </row>
    <row r="91" spans="1:2">
      <c r="A91" s="35"/>
      <c r="B91" s="35"/>
    </row>
    <row r="92" spans="1:2">
      <c r="A92" s="35"/>
      <c r="B92" s="35"/>
    </row>
    <row r="93" spans="1:2">
      <c r="A93" s="35"/>
      <c r="B93" s="35"/>
    </row>
    <row r="94" spans="1:2">
      <c r="A94" s="35"/>
      <c r="B94" s="35"/>
    </row>
    <row r="95" spans="1:2">
      <c r="A95" s="35"/>
      <c r="B95" s="35"/>
    </row>
    <row r="96" spans="1:2">
      <c r="A96" s="35"/>
      <c r="B96" s="35"/>
    </row>
    <row r="97" spans="1:2">
      <c r="A97" s="35"/>
      <c r="B97" s="35"/>
    </row>
    <row r="98" spans="1:2">
      <c r="A98" s="35"/>
      <c r="B98" s="35"/>
    </row>
    <row r="99" spans="1:2">
      <c r="A99" s="35"/>
      <c r="B99" s="35"/>
    </row>
    <row r="100" spans="1:2">
      <c r="A100" s="35"/>
      <c r="B100" s="35"/>
    </row>
    <row r="101" spans="1:2">
      <c r="A101" s="35"/>
      <c r="B101" s="35"/>
    </row>
    <row r="102" spans="1:2">
      <c r="A102" s="35"/>
      <c r="B102" s="35"/>
    </row>
    <row r="103" spans="1:2">
      <c r="A103" s="35"/>
      <c r="B103" s="35"/>
    </row>
    <row r="104" spans="1:2">
      <c r="A104" s="35"/>
      <c r="B104" s="35"/>
    </row>
    <row r="105" spans="1:2">
      <c r="A105" s="35"/>
      <c r="B105" s="35"/>
    </row>
    <row r="106" spans="1:2">
      <c r="A106" s="35"/>
      <c r="B106" s="35"/>
    </row>
    <row r="107" spans="1:2">
      <c r="A107" s="35"/>
      <c r="B107" s="35"/>
    </row>
    <row r="108" spans="1:2">
      <c r="A108" s="35"/>
      <c r="B108" s="35"/>
    </row>
    <row r="109" spans="1:2">
      <c r="A109" s="35"/>
      <c r="B109" s="35"/>
    </row>
    <row r="110" spans="1:2">
      <c r="A110" s="35"/>
      <c r="B110" s="35"/>
    </row>
    <row r="111" spans="1:2">
      <c r="A111" s="35"/>
      <c r="B111" s="35"/>
    </row>
    <row r="112" spans="1:2">
      <c r="A112" s="35"/>
      <c r="B112" s="35"/>
    </row>
    <row r="113" spans="1:2">
      <c r="A113" s="35"/>
      <c r="B113" s="35"/>
    </row>
    <row r="114" spans="1:2">
      <c r="A114" s="35"/>
      <c r="B114" s="35"/>
    </row>
    <row r="115" spans="1:2">
      <c r="A115" s="35"/>
      <c r="B115" s="35"/>
    </row>
    <row r="116" spans="1:2">
      <c r="A116" s="35"/>
      <c r="B116" s="35"/>
    </row>
    <row r="117" spans="1:2">
      <c r="A117" s="35"/>
      <c r="B117" s="35"/>
    </row>
    <row r="118" spans="1:2">
      <c r="A118" s="35"/>
      <c r="B118" s="35"/>
    </row>
    <row r="119" spans="1:2">
      <c r="A119" s="35"/>
      <c r="B119" s="35"/>
    </row>
    <row r="120" spans="1:2">
      <c r="A120" s="35"/>
      <c r="B120" s="35"/>
    </row>
    <row r="121" spans="1:2">
      <c r="A121" s="35"/>
      <c r="B121" s="35"/>
    </row>
    <row r="122" spans="1:2">
      <c r="A122" s="35"/>
      <c r="B122" s="35"/>
    </row>
    <row r="123" spans="1:2">
      <c r="A123" s="35"/>
      <c r="B123" s="35"/>
    </row>
    <row r="124" spans="1:2">
      <c r="A124" s="35"/>
      <c r="B124" s="35"/>
    </row>
    <row r="125" spans="1:2">
      <c r="A125" s="35"/>
      <c r="B125" s="35"/>
    </row>
    <row r="126" spans="1:2">
      <c r="A126" s="35"/>
      <c r="B126" s="35"/>
    </row>
    <row r="127" spans="1:2">
      <c r="A127" s="35"/>
      <c r="B127" s="35"/>
    </row>
    <row r="128" spans="1:2">
      <c r="A128" s="35"/>
      <c r="B128" s="35"/>
    </row>
    <row r="129" spans="1:2">
      <c r="A129" s="35"/>
      <c r="B129" s="35"/>
    </row>
    <row r="130" spans="1:2">
      <c r="A130" s="35"/>
      <c r="B130" s="35"/>
    </row>
    <row r="131" spans="1:2">
      <c r="A131" s="35"/>
      <c r="B131" s="35"/>
    </row>
    <row r="132" spans="1:2">
      <c r="A132" s="35"/>
      <c r="B132" s="35"/>
    </row>
    <row r="133" spans="1:2">
      <c r="A133" s="35"/>
      <c r="B133" s="35"/>
    </row>
    <row r="134" spans="1:2">
      <c r="A134" s="35"/>
      <c r="B134" s="35"/>
    </row>
    <row r="135" spans="1:2">
      <c r="A135" s="35"/>
      <c r="B135" s="35"/>
    </row>
    <row r="136" spans="1:2">
      <c r="A136" s="35"/>
      <c r="B136" s="35"/>
    </row>
    <row r="137" spans="1:2">
      <c r="A137" s="35"/>
      <c r="B137" s="35"/>
    </row>
    <row r="138" spans="1:2">
      <c r="A138" s="35"/>
      <c r="B138" s="35"/>
    </row>
    <row r="139" spans="1:2">
      <c r="A139" s="35"/>
      <c r="B139" s="35"/>
    </row>
    <row r="140" spans="1:2">
      <c r="A140" s="35"/>
      <c r="B140" s="35"/>
    </row>
    <row r="141" spans="1:2">
      <c r="A141" s="35"/>
      <c r="B141" s="35"/>
    </row>
    <row r="142" spans="1:2">
      <c r="A142" s="35"/>
      <c r="B142" s="35"/>
    </row>
    <row r="143" spans="1:2">
      <c r="A143" s="35"/>
      <c r="B143" s="35"/>
    </row>
    <row r="144" spans="1:2">
      <c r="A144" s="35"/>
      <c r="B144" s="35"/>
    </row>
    <row r="145" spans="1:2">
      <c r="A145" s="35"/>
      <c r="B145" s="35"/>
    </row>
    <row r="146" spans="1:2">
      <c r="A146" s="35"/>
      <c r="B146" s="35"/>
    </row>
    <row r="147" spans="1:2">
      <c r="A147" s="35"/>
      <c r="B147" s="35"/>
    </row>
    <row r="148" spans="1:2">
      <c r="A148" s="35"/>
      <c r="B148" s="35"/>
    </row>
    <row r="149" spans="1:2">
      <c r="A149" s="35"/>
      <c r="B149" s="35"/>
    </row>
    <row r="150" spans="1:2">
      <c r="A150" s="35"/>
      <c r="B150" s="35"/>
    </row>
    <row r="151" spans="1:2">
      <c r="A151" s="35"/>
      <c r="B151" s="35"/>
    </row>
    <row r="152" spans="1:2">
      <c r="A152" s="35"/>
      <c r="B152" s="35"/>
    </row>
    <row r="153" spans="1:2">
      <c r="A153" s="35"/>
      <c r="B153" s="35"/>
    </row>
    <row r="154" spans="1:2">
      <c r="A154" s="35"/>
      <c r="B154" s="35"/>
    </row>
    <row r="155" spans="1:2">
      <c r="A155" s="35"/>
      <c r="B155" s="35"/>
    </row>
    <row r="156" spans="1:2">
      <c r="A156" s="35"/>
      <c r="B156" s="35"/>
    </row>
    <row r="157" spans="1:2">
      <c r="A157" s="35"/>
      <c r="B157" s="35"/>
    </row>
    <row r="158" spans="1:2">
      <c r="A158" s="35"/>
      <c r="B158" s="35"/>
    </row>
    <row r="159" spans="1:2">
      <c r="A159" s="35"/>
      <c r="B159" s="35"/>
    </row>
    <row r="160" spans="1:2">
      <c r="A160" s="35"/>
      <c r="B160" s="35"/>
    </row>
    <row r="161" spans="1:2">
      <c r="A161" s="35"/>
      <c r="B161" s="35"/>
    </row>
    <row r="162" spans="1:2">
      <c r="A162" s="35"/>
      <c r="B162" s="35"/>
    </row>
    <row r="163" spans="1:2">
      <c r="A163" s="35"/>
      <c r="B163" s="35"/>
    </row>
    <row r="164" spans="1:2">
      <c r="A164" s="35"/>
      <c r="B164" s="35"/>
    </row>
    <row r="165" spans="1:2">
      <c r="A165" s="35"/>
      <c r="B165" s="35"/>
    </row>
    <row r="166" spans="1:2">
      <c r="A166" s="35"/>
      <c r="B166" s="35"/>
    </row>
    <row r="167" spans="1:2">
      <c r="A167" s="35"/>
      <c r="B167" s="35"/>
    </row>
    <row r="168" spans="1:2">
      <c r="A168" s="35"/>
      <c r="B168" s="35"/>
    </row>
    <row r="169" spans="1:2">
      <c r="A169" s="35"/>
      <c r="B169" s="35"/>
    </row>
    <row r="170" spans="1:2">
      <c r="A170" s="35"/>
      <c r="B170" s="35"/>
    </row>
    <row r="171" spans="1:2">
      <c r="A171" s="35"/>
      <c r="B171" s="35"/>
    </row>
    <row r="172" spans="1:2">
      <c r="A172" s="35"/>
      <c r="B172" s="35"/>
    </row>
    <row r="173" spans="1:2">
      <c r="A173" s="35"/>
      <c r="B173" s="35"/>
    </row>
    <row r="174" spans="1:2">
      <c r="A174" s="35"/>
      <c r="B174" s="35"/>
    </row>
    <row r="175" spans="1:2">
      <c r="A175" s="35"/>
      <c r="B175" s="35"/>
    </row>
    <row r="176" spans="1:2">
      <c r="A176" s="35"/>
      <c r="B176" s="35"/>
    </row>
    <row r="177" spans="1:2">
      <c r="A177" s="35"/>
      <c r="B177" s="35"/>
    </row>
    <row r="178" spans="1:2">
      <c r="A178" s="35"/>
      <c r="B178" s="35"/>
    </row>
    <row r="179" spans="1:2">
      <c r="A179" s="35"/>
      <c r="B179" s="35"/>
    </row>
    <row r="180" spans="1:2">
      <c r="A180" s="35"/>
      <c r="B180" s="35"/>
    </row>
    <row r="181" spans="1:2">
      <c r="A181" s="35"/>
      <c r="B181" s="35"/>
    </row>
    <row r="182" spans="1:2">
      <c r="A182" s="35"/>
      <c r="B182" s="35"/>
    </row>
    <row r="183" spans="1:2">
      <c r="A183" s="35"/>
      <c r="B183" s="35"/>
    </row>
    <row r="184" spans="1:2">
      <c r="A184" s="35"/>
      <c r="B184" s="35"/>
    </row>
    <row r="185" spans="1:2">
      <c r="A185" s="35"/>
      <c r="B185" s="35"/>
    </row>
    <row r="186" spans="1:2">
      <c r="A186" s="35"/>
      <c r="B186" s="35"/>
    </row>
    <row r="187" spans="1:2">
      <c r="A187" s="35"/>
      <c r="B187" s="35"/>
    </row>
    <row r="188" spans="1:2">
      <c r="A188" s="35"/>
      <c r="B188" s="35"/>
    </row>
    <row r="189" spans="1:2">
      <c r="A189" s="35"/>
      <c r="B189" s="35"/>
    </row>
    <row r="190" spans="1:2">
      <c r="A190" s="35"/>
      <c r="B190" s="35"/>
    </row>
    <row r="191" spans="1:2">
      <c r="A191" s="35"/>
      <c r="B191" s="35"/>
    </row>
    <row r="192" spans="1:2">
      <c r="A192" s="35"/>
      <c r="B192" s="35"/>
    </row>
    <row r="193" spans="1:2">
      <c r="A193" s="35"/>
      <c r="B193" s="35"/>
    </row>
    <row r="194" spans="1:2">
      <c r="A194" s="35"/>
      <c r="B194" s="35"/>
    </row>
    <row r="195" spans="1:2">
      <c r="A195" s="35"/>
      <c r="B195" s="35"/>
    </row>
    <row r="196" spans="1:2">
      <c r="A196" s="35"/>
      <c r="B196" s="35"/>
    </row>
    <row r="197" spans="1:2">
      <c r="A197" s="35"/>
      <c r="B197" s="35"/>
    </row>
    <row r="198" spans="1:2">
      <c r="A198" s="35"/>
      <c r="B198" s="35"/>
    </row>
    <row r="199" spans="1:2">
      <c r="A199" s="35"/>
      <c r="B199" s="35"/>
    </row>
    <row r="200" spans="1:2">
      <c r="A200" s="35"/>
      <c r="B200" s="35"/>
    </row>
  </sheetData>
  <mergeCells count="3">
    <mergeCell ref="A4:A5"/>
    <mergeCell ref="B4:B5"/>
    <mergeCell ref="A7:B20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E200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2" sqref="C2"/>
    </sheetView>
  </sheetViews>
  <sheetFormatPr defaultColWidth="8.88888888888889" defaultRowHeight="16.5" outlineLevelCol="4"/>
  <cols>
    <col min="1" max="1" width="13" style="20" customWidth="1" outlineLevel="1"/>
    <col min="2" max="2" width="44.7777777777778" style="20" customWidth="1" outlineLevel="1"/>
    <col min="3" max="3" width="8.88888888888889" style="25"/>
    <col min="4" max="5" width="15.7777777777778" style="25" customWidth="1"/>
    <col min="6" max="16384" width="8.88888888888889" style="25"/>
  </cols>
  <sheetData>
    <row r="1" s="24" customFormat="1" spans="1:5">
      <c r="A1" s="26" t="s">
        <v>20</v>
      </c>
      <c r="B1" s="27"/>
      <c r="C1" s="24" t="s">
        <v>21</v>
      </c>
    </row>
    <row r="2" customHeight="1" spans="1:5">
      <c r="A2" s="28" t="s">
        <v>1</v>
      </c>
      <c r="B2" s="29" t="s">
        <v>11</v>
      </c>
      <c r="C2" s="23" t="str">
        <f>HYPERLINK(CONCATENATE("#脚本清单!F",MATCH(B2,脚本清单!B:B,0)),"返回")</f>
        <v>返回</v>
      </c>
      <c r="D2" s="25" t="s">
        <v>22</v>
      </c>
      <c r="E2" s="25" t="s">
        <v>23</v>
      </c>
    </row>
    <row r="3" customHeight="1" spans="1:5">
      <c r="A3" s="28" t="s">
        <v>2</v>
      </c>
      <c r="B3" s="29" t="str">
        <f>VLOOKUP($B$2,脚本清单!$B:$G,2,0)</f>
        <v>类型</v>
      </c>
      <c r="D3" s="45" t="s">
        <v>24</v>
      </c>
      <c r="E3" s="45" t="s">
        <v>24</v>
      </c>
    </row>
    <row r="4" customHeight="1" spans="1:5">
      <c r="A4" s="30" t="s">
        <v>3</v>
      </c>
      <c r="B4" s="31" t="str">
        <f>VLOOKUP($B$2,脚本清单!$B:$G,3,0)</f>
        <v>表名-字段名-评估维度
评估说明</v>
      </c>
    </row>
    <row r="5" customHeight="1" spans="1:5">
      <c r="A5" s="32"/>
      <c r="B5" s="33"/>
    </row>
    <row r="6" customHeight="1" spans="1:5">
      <c r="A6" s="28" t="s">
        <v>4</v>
      </c>
      <c r="B6" s="29">
        <f>VLOOKUP($B$2,脚本清单!$B:$G,4,0)</f>
        <v>1</v>
      </c>
    </row>
    <row r="7" customHeight="1" spans="1:5">
      <c r="A7" s="34" t="str">
        <f>VLOOKUP($B$2,脚本清单!$B:$G,6,0)</f>
        <v>SELECT * FROM TBL_NAME LIMIT 100</v>
      </c>
      <c r="B7" s="34"/>
    </row>
    <row r="8" spans="1:5">
      <c r="A8" s="35"/>
      <c r="B8" s="35"/>
    </row>
    <row r="9" spans="1:5">
      <c r="A9" s="35"/>
      <c r="B9" s="35"/>
    </row>
    <row r="10" spans="1:5">
      <c r="A10" s="35"/>
      <c r="B10" s="35"/>
    </row>
    <row r="11" spans="1:5">
      <c r="A11" s="35"/>
      <c r="B11" s="35"/>
    </row>
    <row r="12" spans="1:5">
      <c r="A12" s="35"/>
      <c r="B12" s="35"/>
    </row>
    <row r="13" spans="1:5">
      <c r="A13" s="35"/>
      <c r="B13" s="35"/>
    </row>
    <row r="14" spans="1:5">
      <c r="A14" s="35"/>
      <c r="B14" s="35"/>
    </row>
    <row r="15" spans="1:5">
      <c r="A15" s="35"/>
      <c r="B15" s="35"/>
    </row>
    <row r="16" spans="1:5">
      <c r="A16" s="35"/>
      <c r="B16" s="35"/>
    </row>
    <row r="17" spans="1:2">
      <c r="A17" s="35"/>
      <c r="B17" s="35"/>
    </row>
    <row r="18" spans="1:2">
      <c r="A18" s="35"/>
      <c r="B18" s="35"/>
    </row>
    <row r="19" spans="1:2">
      <c r="A19" s="35"/>
      <c r="B19" s="35"/>
    </row>
    <row r="20" spans="1:2">
      <c r="A20" s="35"/>
      <c r="B20" s="35"/>
    </row>
    <row r="21" spans="1:2">
      <c r="A21" s="35"/>
      <c r="B21" s="35"/>
    </row>
    <row r="22" spans="1:2">
      <c r="A22" s="35"/>
      <c r="B22" s="35"/>
    </row>
    <row r="23" spans="1:2">
      <c r="A23" s="35"/>
      <c r="B23" s="35"/>
    </row>
    <row r="24" spans="1:2">
      <c r="A24" s="35"/>
      <c r="B24" s="35"/>
    </row>
    <row r="25" spans="1:2">
      <c r="A25" s="35"/>
      <c r="B25" s="35"/>
    </row>
    <row r="26" spans="1:2">
      <c r="A26" s="35"/>
      <c r="B26" s="35"/>
    </row>
    <row r="27" spans="1:2">
      <c r="A27" s="35"/>
      <c r="B27" s="35"/>
    </row>
    <row r="28" spans="1:2">
      <c r="A28" s="35"/>
      <c r="B28" s="35"/>
    </row>
    <row r="29" spans="1:2">
      <c r="A29" s="35"/>
      <c r="B29" s="35"/>
    </row>
    <row r="30" spans="1:2">
      <c r="A30" s="35"/>
      <c r="B30" s="35"/>
    </row>
    <row r="31" spans="1:2">
      <c r="A31" s="35"/>
      <c r="B31" s="35"/>
    </row>
    <row r="32" spans="1:2">
      <c r="A32" s="35"/>
      <c r="B32" s="35"/>
    </row>
    <row r="33" spans="1:2">
      <c r="A33" s="35"/>
      <c r="B33" s="35"/>
    </row>
    <row r="34" spans="1:2">
      <c r="A34" s="35"/>
      <c r="B34" s="35"/>
    </row>
    <row r="35" spans="1:2">
      <c r="A35" s="35"/>
      <c r="B35" s="35"/>
    </row>
    <row r="36" spans="1:2">
      <c r="A36" s="35"/>
      <c r="B36" s="35"/>
    </row>
    <row r="37" spans="1:2">
      <c r="A37" s="35"/>
      <c r="B37" s="35"/>
    </row>
    <row r="38" spans="1:2">
      <c r="A38" s="35"/>
      <c r="B38" s="35"/>
    </row>
    <row r="39" spans="1:2">
      <c r="A39" s="35"/>
      <c r="B39" s="35"/>
    </row>
    <row r="40" spans="1:2">
      <c r="A40" s="35"/>
      <c r="B40" s="35"/>
    </row>
    <row r="41" spans="1:2">
      <c r="A41" s="35"/>
      <c r="B41" s="35"/>
    </row>
    <row r="42" spans="1:2">
      <c r="A42" s="35"/>
      <c r="B42" s="35"/>
    </row>
    <row r="43" spans="1:2">
      <c r="A43" s="35"/>
      <c r="B43" s="35"/>
    </row>
    <row r="44" spans="1:2">
      <c r="A44" s="35"/>
      <c r="B44" s="35"/>
    </row>
    <row r="45" spans="1:2">
      <c r="A45" s="35"/>
      <c r="B45" s="35"/>
    </row>
    <row r="46" spans="1:2">
      <c r="A46" s="35"/>
      <c r="B46" s="35"/>
    </row>
    <row r="47" spans="1:2">
      <c r="A47" s="35"/>
      <c r="B47" s="35"/>
    </row>
    <row r="48" spans="1:2">
      <c r="A48" s="35"/>
      <c r="B48" s="35"/>
    </row>
    <row r="49" spans="1:2">
      <c r="A49" s="35"/>
      <c r="B49" s="35"/>
    </row>
    <row r="50" spans="1:2">
      <c r="A50" s="35"/>
      <c r="B50" s="35"/>
    </row>
    <row r="51" spans="1:2">
      <c r="A51" s="35"/>
      <c r="B51" s="35"/>
    </row>
    <row r="52" spans="1:2">
      <c r="A52" s="35"/>
      <c r="B52" s="35"/>
    </row>
    <row r="53" spans="1:2">
      <c r="A53" s="35"/>
      <c r="B53" s="35"/>
    </row>
    <row r="54" spans="1:2">
      <c r="A54" s="35"/>
      <c r="B54" s="35"/>
    </row>
    <row r="55" spans="1:2">
      <c r="A55" s="35"/>
      <c r="B55" s="35"/>
    </row>
    <row r="56" spans="1:2">
      <c r="A56" s="35"/>
      <c r="B56" s="35"/>
    </row>
    <row r="57" spans="1:2">
      <c r="A57" s="35"/>
      <c r="B57" s="35"/>
    </row>
    <row r="58" spans="1:2">
      <c r="A58" s="35"/>
      <c r="B58" s="35"/>
    </row>
    <row r="59" spans="1:2">
      <c r="A59" s="35"/>
      <c r="B59" s="35"/>
    </row>
    <row r="60" spans="1:2">
      <c r="A60" s="35"/>
      <c r="B60" s="35"/>
    </row>
    <row r="61" spans="1:2">
      <c r="A61" s="35"/>
      <c r="B61" s="35"/>
    </row>
    <row r="62" spans="1:2">
      <c r="A62" s="35"/>
      <c r="B62" s="35"/>
    </row>
    <row r="63" spans="1:2">
      <c r="A63" s="35"/>
      <c r="B63" s="35"/>
    </row>
    <row r="64" spans="1:2">
      <c r="A64" s="35"/>
      <c r="B64" s="35"/>
    </row>
    <row r="65" spans="1:2">
      <c r="A65" s="35"/>
      <c r="B65" s="35"/>
    </row>
    <row r="66" spans="1:2">
      <c r="A66" s="35"/>
      <c r="B66" s="35"/>
    </row>
    <row r="67" spans="1:2">
      <c r="A67" s="35"/>
      <c r="B67" s="35"/>
    </row>
    <row r="68" spans="1:2">
      <c r="A68" s="35"/>
      <c r="B68" s="35"/>
    </row>
    <row r="69" spans="1:2">
      <c r="A69" s="35"/>
      <c r="B69" s="35"/>
    </row>
    <row r="70" spans="1:2">
      <c r="A70" s="35"/>
      <c r="B70" s="35"/>
    </row>
    <row r="71" spans="1:2">
      <c r="A71" s="35"/>
      <c r="B71" s="35"/>
    </row>
    <row r="72" spans="1:2">
      <c r="A72" s="35"/>
      <c r="B72" s="35"/>
    </row>
    <row r="73" spans="1:2">
      <c r="A73" s="35"/>
      <c r="B73" s="35"/>
    </row>
    <row r="74" spans="1:2">
      <c r="A74" s="35"/>
      <c r="B74" s="35"/>
    </row>
    <row r="75" spans="1:2">
      <c r="A75" s="35"/>
      <c r="B75" s="35"/>
    </row>
    <row r="76" spans="1:2">
      <c r="A76" s="35"/>
      <c r="B76" s="35"/>
    </row>
    <row r="77" spans="1:2">
      <c r="A77" s="35"/>
      <c r="B77" s="35"/>
    </row>
    <row r="78" spans="1:2">
      <c r="A78" s="35"/>
      <c r="B78" s="35"/>
    </row>
    <row r="79" spans="1:2">
      <c r="A79" s="35"/>
      <c r="B79" s="35"/>
    </row>
    <row r="80" spans="1:2">
      <c r="A80" s="35"/>
      <c r="B80" s="35"/>
    </row>
    <row r="81" spans="1:2">
      <c r="A81" s="35"/>
      <c r="B81" s="35"/>
    </row>
    <row r="82" spans="1:2">
      <c r="A82" s="35"/>
      <c r="B82" s="35"/>
    </row>
    <row r="83" spans="1:2">
      <c r="A83" s="35"/>
      <c r="B83" s="35"/>
    </row>
    <row r="84" spans="1:2">
      <c r="A84" s="35"/>
      <c r="B84" s="35"/>
    </row>
    <row r="85" spans="1:2">
      <c r="A85" s="35"/>
      <c r="B85" s="35"/>
    </row>
    <row r="86" spans="1:2">
      <c r="A86" s="35"/>
      <c r="B86" s="35"/>
    </row>
    <row r="87" spans="1:2">
      <c r="A87" s="35"/>
      <c r="B87" s="35"/>
    </row>
    <row r="88" spans="1:2">
      <c r="A88" s="35"/>
      <c r="B88" s="35"/>
    </row>
    <row r="89" spans="1:2">
      <c r="A89" s="35"/>
      <c r="B89" s="35"/>
    </row>
    <row r="90" spans="1:2">
      <c r="A90" s="35"/>
      <c r="B90" s="35"/>
    </row>
    <row r="91" spans="1:2">
      <c r="A91" s="35"/>
      <c r="B91" s="35"/>
    </row>
    <row r="92" spans="1:2">
      <c r="A92" s="35"/>
      <c r="B92" s="35"/>
    </row>
    <row r="93" spans="1:2">
      <c r="A93" s="35"/>
      <c r="B93" s="35"/>
    </row>
    <row r="94" spans="1:2">
      <c r="A94" s="35"/>
      <c r="B94" s="35"/>
    </row>
    <row r="95" spans="1:2">
      <c r="A95" s="35"/>
      <c r="B95" s="35"/>
    </row>
    <row r="96" spans="1:2">
      <c r="A96" s="35"/>
      <c r="B96" s="35"/>
    </row>
    <row r="97" spans="1:2">
      <c r="A97" s="35"/>
      <c r="B97" s="35"/>
    </row>
    <row r="98" spans="1:2">
      <c r="A98" s="35"/>
      <c r="B98" s="35"/>
    </row>
    <row r="99" spans="1:2">
      <c r="A99" s="35"/>
      <c r="B99" s="35"/>
    </row>
    <row r="100" spans="1:2">
      <c r="A100" s="35"/>
      <c r="B100" s="35"/>
    </row>
    <row r="101" spans="1:2">
      <c r="A101" s="35"/>
      <c r="B101" s="35"/>
    </row>
    <row r="102" spans="1:2">
      <c r="A102" s="35"/>
      <c r="B102" s="35"/>
    </row>
    <row r="103" spans="1:2">
      <c r="A103" s="35"/>
      <c r="B103" s="35"/>
    </row>
    <row r="104" spans="1:2">
      <c r="A104" s="35"/>
      <c r="B104" s="35"/>
    </row>
    <row r="105" spans="1:2">
      <c r="A105" s="35"/>
      <c r="B105" s="35"/>
    </row>
    <row r="106" spans="1:2">
      <c r="A106" s="35"/>
      <c r="B106" s="35"/>
    </row>
    <row r="107" spans="1:2">
      <c r="A107" s="35"/>
      <c r="B107" s="35"/>
    </row>
    <row r="108" spans="1:2">
      <c r="A108" s="35"/>
      <c r="B108" s="35"/>
    </row>
    <row r="109" spans="1:2">
      <c r="A109" s="35"/>
      <c r="B109" s="35"/>
    </row>
    <row r="110" spans="1:2">
      <c r="A110" s="35"/>
      <c r="B110" s="35"/>
    </row>
    <row r="111" spans="1:2">
      <c r="A111" s="35"/>
      <c r="B111" s="35"/>
    </row>
    <row r="112" spans="1:2">
      <c r="A112" s="35"/>
      <c r="B112" s="35"/>
    </row>
    <row r="113" spans="1:2">
      <c r="A113" s="35"/>
      <c r="B113" s="35"/>
    </row>
    <row r="114" spans="1:2">
      <c r="A114" s="35"/>
      <c r="B114" s="35"/>
    </row>
    <row r="115" spans="1:2">
      <c r="A115" s="35"/>
      <c r="B115" s="35"/>
    </row>
    <row r="116" spans="1:2">
      <c r="A116" s="35"/>
      <c r="B116" s="35"/>
    </row>
    <row r="117" spans="1:2">
      <c r="A117" s="35"/>
      <c r="B117" s="35"/>
    </row>
    <row r="118" spans="1:2">
      <c r="A118" s="35"/>
      <c r="B118" s="35"/>
    </row>
    <row r="119" spans="1:2">
      <c r="A119" s="35"/>
      <c r="B119" s="35"/>
    </row>
    <row r="120" spans="1:2">
      <c r="A120" s="35"/>
      <c r="B120" s="35"/>
    </row>
    <row r="121" spans="1:2">
      <c r="A121" s="35"/>
      <c r="B121" s="35"/>
    </row>
    <row r="122" spans="1:2">
      <c r="A122" s="35"/>
      <c r="B122" s="35"/>
    </row>
    <row r="123" spans="1:2">
      <c r="A123" s="35"/>
      <c r="B123" s="35"/>
    </row>
    <row r="124" spans="1:2">
      <c r="A124" s="35"/>
      <c r="B124" s="35"/>
    </row>
    <row r="125" spans="1:2">
      <c r="A125" s="35"/>
      <c r="B125" s="35"/>
    </row>
    <row r="126" spans="1:2">
      <c r="A126" s="35"/>
      <c r="B126" s="35"/>
    </row>
    <row r="127" spans="1:2">
      <c r="A127" s="35"/>
      <c r="B127" s="35"/>
    </row>
    <row r="128" spans="1:2">
      <c r="A128" s="35"/>
      <c r="B128" s="35"/>
    </row>
    <row r="129" spans="1:2">
      <c r="A129" s="35"/>
      <c r="B129" s="35"/>
    </row>
    <row r="130" spans="1:2">
      <c r="A130" s="35"/>
      <c r="B130" s="35"/>
    </row>
    <row r="131" spans="1:2">
      <c r="A131" s="35"/>
      <c r="B131" s="35"/>
    </row>
    <row r="132" spans="1:2">
      <c r="A132" s="35"/>
      <c r="B132" s="35"/>
    </row>
    <row r="133" spans="1:2">
      <c r="A133" s="35"/>
      <c r="B133" s="35"/>
    </row>
    <row r="134" spans="1:2">
      <c r="A134" s="35"/>
      <c r="B134" s="35"/>
    </row>
    <row r="135" spans="1:2">
      <c r="A135" s="35"/>
      <c r="B135" s="35"/>
    </row>
    <row r="136" spans="1:2">
      <c r="A136" s="35"/>
      <c r="B136" s="35"/>
    </row>
    <row r="137" spans="1:2">
      <c r="A137" s="35"/>
      <c r="B137" s="35"/>
    </row>
    <row r="138" spans="1:2">
      <c r="A138" s="35"/>
      <c r="B138" s="35"/>
    </row>
    <row r="139" spans="1:2">
      <c r="A139" s="35"/>
      <c r="B139" s="35"/>
    </row>
    <row r="140" spans="1:2">
      <c r="A140" s="35"/>
      <c r="B140" s="35"/>
    </row>
    <row r="141" spans="1:2">
      <c r="A141" s="35"/>
      <c r="B141" s="35"/>
    </row>
    <row r="142" spans="1:2">
      <c r="A142" s="35"/>
      <c r="B142" s="35"/>
    </row>
    <row r="143" spans="1:2">
      <c r="A143" s="35"/>
      <c r="B143" s="35"/>
    </row>
    <row r="144" spans="1:2">
      <c r="A144" s="35"/>
      <c r="B144" s="35"/>
    </row>
    <row r="145" spans="1:2">
      <c r="A145" s="35"/>
      <c r="B145" s="35"/>
    </row>
    <row r="146" spans="1:2">
      <c r="A146" s="35"/>
      <c r="B146" s="35"/>
    </row>
    <row r="147" spans="1:2">
      <c r="A147" s="35"/>
      <c r="B147" s="35"/>
    </row>
    <row r="148" spans="1:2">
      <c r="A148" s="35"/>
      <c r="B148" s="35"/>
    </row>
    <row r="149" spans="1:2">
      <c r="A149" s="35"/>
      <c r="B149" s="35"/>
    </row>
    <row r="150" spans="1:2">
      <c r="A150" s="35"/>
      <c r="B150" s="35"/>
    </row>
    <row r="151" spans="1:2">
      <c r="A151" s="35"/>
      <c r="B151" s="35"/>
    </row>
    <row r="152" spans="1:2">
      <c r="A152" s="35"/>
      <c r="B152" s="35"/>
    </row>
    <row r="153" spans="1:2">
      <c r="A153" s="35"/>
      <c r="B153" s="35"/>
    </row>
    <row r="154" spans="1:2">
      <c r="A154" s="35"/>
      <c r="B154" s="35"/>
    </row>
    <row r="155" spans="1:2">
      <c r="A155" s="35"/>
      <c r="B155" s="35"/>
    </row>
    <row r="156" spans="1:2">
      <c r="A156" s="35"/>
      <c r="B156" s="35"/>
    </row>
    <row r="157" spans="1:2">
      <c r="A157" s="35"/>
      <c r="B157" s="35"/>
    </row>
    <row r="158" spans="1:2">
      <c r="A158" s="35"/>
      <c r="B158" s="35"/>
    </row>
    <row r="159" spans="1:2">
      <c r="A159" s="35"/>
      <c r="B159" s="35"/>
    </row>
    <row r="160" spans="1:2">
      <c r="A160" s="35"/>
      <c r="B160" s="35"/>
    </row>
    <row r="161" spans="1:2">
      <c r="A161" s="35"/>
      <c r="B161" s="35"/>
    </row>
    <row r="162" spans="1:2">
      <c r="A162" s="35"/>
      <c r="B162" s="35"/>
    </row>
    <row r="163" spans="1:2">
      <c r="A163" s="35"/>
      <c r="B163" s="35"/>
    </row>
    <row r="164" spans="1:2">
      <c r="A164" s="35"/>
      <c r="B164" s="35"/>
    </row>
    <row r="165" spans="1:2">
      <c r="A165" s="35"/>
      <c r="B165" s="35"/>
    </row>
    <row r="166" spans="1:2">
      <c r="A166" s="35"/>
      <c r="B166" s="35"/>
    </row>
    <row r="167" spans="1:2">
      <c r="A167" s="35"/>
      <c r="B167" s="35"/>
    </row>
    <row r="168" spans="1:2">
      <c r="A168" s="35"/>
      <c r="B168" s="35"/>
    </row>
    <row r="169" spans="1:2">
      <c r="A169" s="35"/>
      <c r="B169" s="35"/>
    </row>
    <row r="170" spans="1:2">
      <c r="A170" s="35"/>
      <c r="B170" s="35"/>
    </row>
    <row r="171" spans="1:2">
      <c r="A171" s="35"/>
      <c r="B171" s="35"/>
    </row>
    <row r="172" spans="1:2">
      <c r="A172" s="35"/>
      <c r="B172" s="35"/>
    </row>
    <row r="173" spans="1:2">
      <c r="A173" s="35"/>
      <c r="B173" s="35"/>
    </row>
    <row r="174" spans="1:2">
      <c r="A174" s="35"/>
      <c r="B174" s="35"/>
    </row>
    <row r="175" spans="1:2">
      <c r="A175" s="35"/>
      <c r="B175" s="35"/>
    </row>
    <row r="176" spans="1:2">
      <c r="A176" s="35"/>
      <c r="B176" s="35"/>
    </row>
    <row r="177" spans="1:2">
      <c r="A177" s="35"/>
      <c r="B177" s="35"/>
    </row>
    <row r="178" spans="1:2">
      <c r="A178" s="35"/>
      <c r="B178" s="35"/>
    </row>
    <row r="179" spans="1:2">
      <c r="A179" s="35"/>
      <c r="B179" s="35"/>
    </row>
    <row r="180" spans="1:2">
      <c r="A180" s="35"/>
      <c r="B180" s="35"/>
    </row>
    <row r="181" spans="1:2">
      <c r="A181" s="35"/>
      <c r="B181" s="35"/>
    </row>
    <row r="182" spans="1:2">
      <c r="A182" s="35"/>
      <c r="B182" s="35"/>
    </row>
    <row r="183" spans="1:2">
      <c r="A183" s="35"/>
      <c r="B183" s="35"/>
    </row>
    <row r="184" spans="1:2">
      <c r="A184" s="35"/>
      <c r="B184" s="35"/>
    </row>
    <row r="185" spans="1:2">
      <c r="A185" s="35"/>
      <c r="B185" s="35"/>
    </row>
    <row r="186" spans="1:2">
      <c r="A186" s="35"/>
      <c r="B186" s="35"/>
    </row>
    <row r="187" spans="1:2">
      <c r="A187" s="35"/>
      <c r="B187" s="35"/>
    </row>
    <row r="188" spans="1:2">
      <c r="A188" s="35"/>
      <c r="B188" s="35"/>
    </row>
    <row r="189" spans="1:2">
      <c r="A189" s="35"/>
      <c r="B189" s="35"/>
    </row>
    <row r="190" spans="1:2">
      <c r="A190" s="35"/>
      <c r="B190" s="35"/>
    </row>
    <row r="191" spans="1:2">
      <c r="A191" s="35"/>
      <c r="B191" s="35"/>
    </row>
    <row r="192" spans="1:2">
      <c r="A192" s="35"/>
      <c r="B192" s="35"/>
    </row>
    <row r="193" spans="1:2">
      <c r="A193" s="35"/>
      <c r="B193" s="35"/>
    </row>
    <row r="194" spans="1:2">
      <c r="A194" s="35"/>
      <c r="B194" s="35"/>
    </row>
    <row r="195" spans="1:2">
      <c r="A195" s="35"/>
      <c r="B195" s="35"/>
    </row>
    <row r="196" spans="1:2">
      <c r="A196" s="35"/>
      <c r="B196" s="35"/>
    </row>
    <row r="197" spans="1:2">
      <c r="A197" s="35"/>
      <c r="B197" s="35"/>
    </row>
    <row r="198" spans="1:2">
      <c r="A198" s="35"/>
      <c r="B198" s="35"/>
    </row>
    <row r="199" spans="1:2">
      <c r="A199" s="35"/>
      <c r="B199" s="35"/>
    </row>
    <row r="200" spans="1:2">
      <c r="A200" s="35"/>
      <c r="B200" s="35"/>
    </row>
  </sheetData>
  <mergeCells count="3">
    <mergeCell ref="A4:A5"/>
    <mergeCell ref="B4:B5"/>
    <mergeCell ref="A7:B200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3"/>
  <sheetViews>
    <sheetView showGridLines="0" workbookViewId="0">
      <selection activeCell="H26" sqref="H26"/>
    </sheetView>
  </sheetViews>
  <sheetFormatPr defaultColWidth="9" defaultRowHeight="16.5" outlineLevelRow="2" outlineLevelCol="7"/>
  <cols>
    <col min="1" max="1" width="13.3333333333333" customWidth="1"/>
    <col min="2" max="2" width="9.44444444444444" customWidth="1"/>
    <col min="3" max="3" width="8.11111111111111" customWidth="1"/>
    <col min="4" max="4" width="20.1111111111111" customWidth="1"/>
    <col min="5" max="5" width="8.11111111111111" customWidth="1"/>
    <col min="7" max="7" width="21.6666666666667" customWidth="1"/>
    <col min="8" max="8" width="26.4444444444444" customWidth="1"/>
  </cols>
  <sheetData>
    <row r="1" spans="1:8">
      <c r="A1" s="13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8" t="s">
        <v>6</v>
      </c>
      <c r="H1" s="18" t="s">
        <v>7</v>
      </c>
    </row>
    <row r="2" ht="33" spans="1:8">
      <c r="A2" s="19" t="s">
        <v>10</v>
      </c>
      <c r="B2" s="20" t="s">
        <v>11</v>
      </c>
      <c r="C2" s="20" t="s">
        <v>12</v>
      </c>
      <c r="D2" s="21" t="s">
        <v>13</v>
      </c>
      <c r="E2" s="20">
        <v>1</v>
      </c>
      <c r="F2" s="23" t="str">
        <f t="shared" ref="F2:F3" si="0">HYPERLINK(CONCATENATE("#'",B2,"'!C2"),"查看")</f>
        <v>查看</v>
      </c>
      <c r="G2" t="s">
        <v>14</v>
      </c>
      <c r="H2" t="s">
        <v>15</v>
      </c>
    </row>
    <row r="3" spans="1:8">
      <c r="A3" t="s">
        <v>10</v>
      </c>
      <c r="B3" s="20" t="s">
        <v>16</v>
      </c>
      <c r="C3" s="20" t="s">
        <v>17</v>
      </c>
      <c r="D3" s="20" t="s">
        <v>18</v>
      </c>
      <c r="E3" s="20">
        <v>1</v>
      </c>
      <c r="F3" s="22" t="str">
        <f t="shared" si="0"/>
        <v>查看</v>
      </c>
      <c r="G3" t="s">
        <v>19</v>
      </c>
    </row>
  </sheetData>
  <conditionalFormatting sqref="B1:B3">
    <cfRule type="duplicateValues" dxfId="10" priority="1"/>
  </conditionalFormatting>
  <pageMargins left="0.7" right="0.7" top="0.75" bottom="0.75" header="0.3" footer="0.3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499984740745262"/>
  </sheetPr>
  <dimension ref="A1:I36"/>
  <sheetViews>
    <sheetView showGridLines="0" workbookViewId="0">
      <selection activeCell="C39" sqref="C39"/>
    </sheetView>
  </sheetViews>
  <sheetFormatPr defaultColWidth="8.88888888888889" defaultRowHeight="16.5"/>
  <cols>
    <col min="1" max="1" width="13.4444444444444" customWidth="1"/>
    <col min="2" max="2" width="11.4444444444444" customWidth="1"/>
    <col min="3" max="3" width="20.1111111111111" customWidth="1"/>
    <col min="4" max="4" width="32.7777777777778" customWidth="1"/>
  </cols>
  <sheetData>
    <row r="1" spans="1:5">
      <c r="A1" t="s">
        <v>25</v>
      </c>
    </row>
    <row r="2" spans="1:5">
      <c r="A2" t="s">
        <v>26</v>
      </c>
      <c r="B2" t="s">
        <v>27</v>
      </c>
      <c r="C2" t="s">
        <v>28</v>
      </c>
      <c r="D2" t="s">
        <v>29</v>
      </c>
    </row>
    <row r="3" spans="1:5">
      <c r="A3" t="s">
        <v>30</v>
      </c>
      <c r="B3" t="s">
        <v>31</v>
      </c>
      <c r="C3" s="2">
        <v>44088</v>
      </c>
      <c r="D3" t="s">
        <v>32</v>
      </c>
    </row>
    <row r="4" spans="1:5">
      <c r="A4" s="3" t="s">
        <v>33</v>
      </c>
      <c r="B4" s="3" t="s">
        <v>31</v>
      </c>
      <c r="C4" s="4">
        <v>46164</v>
      </c>
      <c r="D4" s="5" t="s">
        <v>34</v>
      </c>
    </row>
    <row r="5" spans="1:5">
      <c r="A5" t="s">
        <v>35</v>
      </c>
    </row>
    <row r="6" spans="1:5">
      <c r="A6" s="6"/>
      <c r="B6" t="s">
        <v>36</v>
      </c>
    </row>
    <row r="7" spans="1:5">
      <c r="A7" s="7"/>
      <c r="B7" t="s">
        <v>37</v>
      </c>
    </row>
    <row r="8" spans="1:5">
      <c r="A8" s="8"/>
      <c r="B8" t="s">
        <v>38</v>
      </c>
    </row>
    <row r="10" spans="1:5">
      <c r="A10" t="s">
        <v>39</v>
      </c>
    </row>
    <row r="11" spans="1:5">
      <c r="A11" t="s">
        <v>40</v>
      </c>
      <c r="B11" t="s">
        <v>41</v>
      </c>
    </row>
    <row r="12" spans="1:5">
      <c r="A12" t="s">
        <v>11</v>
      </c>
      <c r="B12" t="s">
        <v>42</v>
      </c>
    </row>
    <row r="14" spans="1:5">
      <c r="A14" t="s">
        <v>43</v>
      </c>
    </row>
    <row r="15" s="1" customFormat="1" customHeight="1" spans="1:5">
      <c r="A15" s="9" t="s">
        <v>44</v>
      </c>
    </row>
    <row r="16" s="1" customFormat="1" customHeight="1" spans="1:5">
      <c r="A16" s="10" t="s">
        <v>45</v>
      </c>
      <c r="B16" s="10"/>
      <c r="C16" s="10"/>
      <c r="D16" s="10"/>
      <c r="E16" s="10"/>
    </row>
    <row r="17" s="1" customFormat="1" ht="30" spans="1:5">
      <c r="A17" s="11" t="s">
        <v>46</v>
      </c>
      <c r="B17" s="11" t="s">
        <v>47</v>
      </c>
      <c r="C17" s="11" t="s">
        <v>48</v>
      </c>
      <c r="D17" s="11" t="s">
        <v>49</v>
      </c>
      <c r="E17" s="11" t="s">
        <v>50</v>
      </c>
    </row>
    <row r="18" s="1" customFormat="1" ht="49.5" spans="1:5">
      <c r="A18" s="12">
        <v>1</v>
      </c>
      <c r="B18" s="12" t="s">
        <v>51</v>
      </c>
      <c r="C18" s="12" t="s">
        <v>52</v>
      </c>
      <c r="D18" s="12" t="s">
        <v>53</v>
      </c>
      <c r="E18" s="12" t="s">
        <v>54</v>
      </c>
    </row>
    <row r="19" s="1" customFormat="1" ht="66" spans="1:5">
      <c r="A19" s="12">
        <v>2</v>
      </c>
      <c r="B19" s="12" t="s">
        <v>55</v>
      </c>
      <c r="C19" s="12" t="s">
        <v>56</v>
      </c>
      <c r="D19" s="12" t="s">
        <v>57</v>
      </c>
      <c r="E19" s="12" t="s">
        <v>54</v>
      </c>
    </row>
    <row r="20" s="1" customFormat="1" ht="33" spans="1:5">
      <c r="A20" s="12">
        <v>3</v>
      </c>
      <c r="B20" s="12" t="s">
        <v>58</v>
      </c>
      <c r="C20" s="12" t="s">
        <v>59</v>
      </c>
      <c r="D20" s="12" t="s">
        <v>60</v>
      </c>
      <c r="E20" s="12" t="s">
        <v>54</v>
      </c>
    </row>
    <row r="21" s="1" customFormat="1" ht="33" spans="1:5">
      <c r="A21" s="12">
        <v>4</v>
      </c>
      <c r="B21" s="12" t="s">
        <v>61</v>
      </c>
      <c r="C21" s="12" t="s">
        <v>62</v>
      </c>
      <c r="D21" s="12" t="s">
        <v>63</v>
      </c>
      <c r="E21" s="12" t="s">
        <v>54</v>
      </c>
    </row>
    <row r="22" s="1" customFormat="1" ht="33" spans="1:5">
      <c r="A22" s="12">
        <v>5</v>
      </c>
      <c r="B22" s="12" t="s">
        <v>64</v>
      </c>
      <c r="C22" s="12" t="s">
        <v>65</v>
      </c>
      <c r="D22" s="12" t="s">
        <v>66</v>
      </c>
      <c r="E22" s="12" t="s">
        <v>54</v>
      </c>
    </row>
    <row r="23" s="1" customFormat="1" ht="49.5" spans="1:5">
      <c r="A23" s="12">
        <v>6</v>
      </c>
      <c r="B23" s="12" t="s">
        <v>67</v>
      </c>
      <c r="C23" s="12" t="s">
        <v>68</v>
      </c>
      <c r="D23" s="12" t="s">
        <v>69</v>
      </c>
      <c r="E23" s="12" t="s">
        <v>54</v>
      </c>
    </row>
    <row r="24" s="1" customFormat="1" spans="1:5">
      <c r="A24" s="12">
        <v>7</v>
      </c>
      <c r="B24" s="12" t="s">
        <v>70</v>
      </c>
      <c r="C24" s="12" t="s">
        <v>71</v>
      </c>
      <c r="D24" s="12" t="s">
        <v>72</v>
      </c>
      <c r="E24" s="12" t="s">
        <v>54</v>
      </c>
    </row>
    <row r="25" s="1" customFormat="1" ht="33" spans="1:5">
      <c r="A25" s="12">
        <v>8</v>
      </c>
      <c r="B25" s="12" t="s">
        <v>73</v>
      </c>
      <c r="C25" s="12" t="s">
        <v>74</v>
      </c>
      <c r="D25" s="12" t="s">
        <v>75</v>
      </c>
      <c r="E25" s="12" t="s">
        <v>54</v>
      </c>
    </row>
    <row r="26" s="1" customFormat="1" spans="1:5">
      <c r="A26" s="12">
        <v>9</v>
      </c>
      <c r="B26" s="12" t="s">
        <v>76</v>
      </c>
      <c r="C26" s="12" t="s">
        <v>77</v>
      </c>
      <c r="D26" s="12" t="s">
        <v>78</v>
      </c>
      <c r="E26" s="12" t="s">
        <v>54</v>
      </c>
    </row>
    <row r="27" s="1" customFormat="1" ht="33" spans="1:5">
      <c r="A27" s="12">
        <v>10</v>
      </c>
      <c r="B27" s="12" t="s">
        <v>79</v>
      </c>
      <c r="C27" s="12" t="s">
        <v>80</v>
      </c>
      <c r="D27" s="12" t="s">
        <v>81</v>
      </c>
      <c r="E27" s="12" t="s">
        <v>54</v>
      </c>
    </row>
    <row r="28" s="1" customFormat="1" spans="1:5">
      <c r="A28" s="12">
        <v>11</v>
      </c>
      <c r="B28" s="12" t="s">
        <v>82</v>
      </c>
      <c r="C28" s="12" t="s">
        <v>83</v>
      </c>
      <c r="D28" s="12" t="s">
        <v>84</v>
      </c>
      <c r="E28" s="12" t="s">
        <v>85</v>
      </c>
    </row>
    <row r="29" s="1" customFormat="1" spans="1:5">
      <c r="A29" s="12">
        <v>12</v>
      </c>
      <c r="B29" s="12" t="s">
        <v>86</v>
      </c>
      <c r="C29" s="12" t="s">
        <v>87</v>
      </c>
      <c r="D29" s="12" t="s">
        <v>88</v>
      </c>
      <c r="E29" s="12" t="s">
        <v>85</v>
      </c>
    </row>
    <row r="30" s="1" customFormat="1" spans="1:5">
      <c r="A30" s="12">
        <v>13</v>
      </c>
      <c r="B30" s="12" t="s">
        <v>89</v>
      </c>
      <c r="C30" s="12" t="s">
        <v>90</v>
      </c>
      <c r="D30" s="12" t="s">
        <v>91</v>
      </c>
      <c r="E30" s="12" t="s">
        <v>85</v>
      </c>
    </row>
    <row r="31" s="1" customFormat="1" ht="33" spans="1:5">
      <c r="A31" s="12">
        <v>14</v>
      </c>
      <c r="B31" s="12" t="s">
        <v>92</v>
      </c>
      <c r="C31" s="12" t="s">
        <v>93</v>
      </c>
      <c r="D31" s="12" t="s">
        <v>84</v>
      </c>
      <c r="E31" s="12" t="s">
        <v>85</v>
      </c>
    </row>
    <row r="33" spans="1:9">
      <c r="A33" t="s">
        <v>94</v>
      </c>
    </row>
    <row r="34" spans="1:9">
      <c r="A34" s="13" t="s">
        <v>0</v>
      </c>
      <c r="B34" s="14" t="s">
        <v>1</v>
      </c>
      <c r="C34" s="15" t="s">
        <v>2</v>
      </c>
      <c r="D34" s="15" t="s">
        <v>3</v>
      </c>
      <c r="E34" s="16" t="s">
        <v>4</v>
      </c>
      <c r="F34" s="17" t="s">
        <v>5</v>
      </c>
      <c r="G34" s="18" t="s">
        <v>6</v>
      </c>
      <c r="H34" s="18" t="s">
        <v>7</v>
      </c>
      <c r="I34"/>
    </row>
    <row r="35" ht="33" spans="1:9">
      <c r="A35" s="19" t="s">
        <v>10</v>
      </c>
      <c r="B35" s="20" t="s">
        <v>11</v>
      </c>
      <c r="C35" s="20" t="s">
        <v>12</v>
      </c>
      <c r="D35" s="21" t="s">
        <v>13</v>
      </c>
      <c r="E35" s="20">
        <v>1</v>
      </c>
      <c r="F35" s="22" t="str">
        <f>HYPERLINK(CONCATENATE("#'",A35,"'!C2"),"查看")</f>
        <v>查看</v>
      </c>
      <c r="G35" t="s">
        <v>14</v>
      </c>
      <c r="H35" t="s">
        <v>15</v>
      </c>
    </row>
    <row r="36" spans="1:9">
      <c r="A36" t="s">
        <v>10</v>
      </c>
      <c r="B36" s="20" t="s">
        <v>16</v>
      </c>
      <c r="C36" s="20" t="s">
        <v>17</v>
      </c>
      <c r="D36" s="20" t="s">
        <v>18</v>
      </c>
      <c r="E36" s="20">
        <v>1</v>
      </c>
      <c r="F36" s="22" t="str">
        <f>HYPERLINK(CONCATENATE("#'",A36,"'!C2"),"查看")</f>
        <v>查看</v>
      </c>
      <c r="G36" t="s">
        <v>19</v>
      </c>
    </row>
  </sheetData>
  <conditionalFormatting sqref="B34:B36">
    <cfRule type="duplicateValues" dxfId="10" priority="1"/>
  </conditionalFormatting>
  <pageMargins left="0.7" right="0.7" top="0.75" bottom="0.75" header="0.3" footer="0.3"/>
  <pageSetup paperSize="9" orientation="portrait"/>
  <headerFooter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脚本清单</vt:lpstr>
      <vt:lpstr>模板</vt:lpstr>
      <vt:lpstr>模板_wps</vt:lpstr>
      <vt:lpstr>模板_office</vt:lpstr>
      <vt:lpstr>脚本_模板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段智慧</cp:lastModifiedBy>
  <dcterms:created xsi:type="dcterms:W3CDTF">2020-06-16T11:48:00Z</dcterms:created>
  <dcterms:modified xsi:type="dcterms:W3CDTF">2026-05-22T05:38:21Z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0C6B99D1A671443C9DE8E794351B2BDD_12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